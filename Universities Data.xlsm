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b\Downloads\"/>
    </mc:Choice>
  </mc:AlternateContent>
  <xr:revisionPtr revIDLastSave="0" documentId="13_ncr:1_{36CF94EB-A74F-4C55-A48E-C59B951DFFDF}" xr6:coauthVersionLast="28" xr6:coauthVersionMax="28" xr10:uidLastSave="{00000000-0000-0000-0000-000000000000}"/>
  <bookViews>
    <workbookView xWindow="0" yWindow="0" windowWidth="28800" windowHeight="12210" xr2:uid="{00000000-000D-0000-FFFF-FFFF00000000}"/>
  </bookViews>
  <sheets>
    <sheet name="National Universities Rankings " sheetId="1" r:id="rId1"/>
  </sheets>
  <functionGroups builtInGroupCount="19"/>
  <externalReferences>
    <externalReference r:id="rId2"/>
    <externalReference r:id="rId3"/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'National Universities Rankings '!$A$1:$P$1</definedName>
  </definedNames>
  <calcPr calcId="171027"/>
</workbook>
</file>

<file path=xl/calcChain.xml><?xml version="1.0" encoding="utf-8"?>
<calcChain xmlns="http://schemas.openxmlformats.org/spreadsheetml/2006/main">
  <c r="J110" i="1" l="1"/>
  <c r="H141" i="1" l="1"/>
  <c r="C141" i="1"/>
  <c r="F141" i="1"/>
  <c r="G141" i="1"/>
  <c r="C68" i="1"/>
  <c r="D68" i="1"/>
  <c r="C175" i="1"/>
  <c r="D175" i="1"/>
  <c r="D106" i="1"/>
  <c r="C106" i="1"/>
  <c r="F121" i="1"/>
  <c r="C121" i="1"/>
  <c r="C40" i="1"/>
  <c r="F40" i="1"/>
  <c r="D170" i="1"/>
  <c r="C170" i="1"/>
  <c r="C90" i="1"/>
  <c r="D90" i="1"/>
  <c r="C78" i="1"/>
  <c r="D78" i="1"/>
  <c r="C139" i="1"/>
  <c r="F139" i="1"/>
  <c r="E103" i="1"/>
  <c r="C103" i="1"/>
  <c r="D103" i="1"/>
  <c r="F103" i="1"/>
  <c r="C19" i="1"/>
  <c r="F19" i="1"/>
  <c r="D156" i="1"/>
  <c r="E156" i="1"/>
  <c r="C156" i="1"/>
  <c r="E143" i="1"/>
  <c r="D143" i="1"/>
  <c r="C143" i="1"/>
  <c r="F20" i="1"/>
  <c r="C20" i="1"/>
  <c r="C113" i="1"/>
  <c r="E113" i="1"/>
  <c r="D113" i="1"/>
  <c r="F151" i="1"/>
  <c r="C151" i="1"/>
  <c r="F130" i="1"/>
  <c r="C130" i="1"/>
  <c r="F104" i="1"/>
  <c r="C104" i="1"/>
  <c r="C3" i="1"/>
  <c r="F3" i="1"/>
  <c r="C109" i="1"/>
  <c r="D109" i="1"/>
  <c r="E109" i="1"/>
  <c r="F109" i="1"/>
  <c r="G109" i="1"/>
  <c r="H109" i="1"/>
  <c r="I109" i="1"/>
  <c r="C174" i="1"/>
  <c r="D174" i="1"/>
  <c r="E174" i="1"/>
  <c r="F174" i="1"/>
  <c r="G174" i="1"/>
  <c r="H174" i="1"/>
  <c r="I174" i="1"/>
  <c r="C176" i="1"/>
  <c r="D176" i="1"/>
  <c r="E176" i="1"/>
  <c r="F176" i="1"/>
  <c r="G176" i="1"/>
  <c r="H176" i="1"/>
  <c r="I176" i="1"/>
  <c r="C179" i="1"/>
  <c r="D179" i="1"/>
  <c r="E179" i="1"/>
  <c r="F179" i="1"/>
  <c r="G179" i="1"/>
  <c r="H179" i="1"/>
  <c r="I179" i="1"/>
  <c r="J179" i="1"/>
  <c r="C184" i="1"/>
  <c r="D184" i="1"/>
  <c r="E184" i="1"/>
  <c r="F184" i="1"/>
  <c r="G184" i="1"/>
  <c r="H184" i="1"/>
  <c r="I184" i="1"/>
  <c r="C180" i="1"/>
  <c r="D180" i="1"/>
  <c r="E180" i="1"/>
  <c r="F180" i="1"/>
  <c r="G180" i="1"/>
  <c r="H180" i="1"/>
  <c r="I180" i="1"/>
  <c r="J184" i="1" l="1"/>
  <c r="J103" i="1"/>
  <c r="J180" i="1"/>
  <c r="J109" i="1"/>
  <c r="J156" i="1"/>
  <c r="J174" i="1"/>
  <c r="J176" i="1"/>
  <c r="J113" i="1"/>
  <c r="J143" i="1"/>
  <c r="E141" i="1"/>
  <c r="I141" i="1"/>
  <c r="D141" i="1"/>
  <c r="D20" i="1"/>
  <c r="H20" i="1"/>
  <c r="E20" i="1"/>
  <c r="D139" i="1"/>
  <c r="H139" i="1"/>
  <c r="E139" i="1"/>
  <c r="H68" i="1"/>
  <c r="E68" i="1"/>
  <c r="J68" i="1" s="1"/>
  <c r="F68" i="1"/>
  <c r="H175" i="1"/>
  <c r="E175" i="1"/>
  <c r="J175" i="1" s="1"/>
  <c r="F175" i="1"/>
  <c r="F106" i="1"/>
  <c r="H106" i="1"/>
  <c r="E106" i="1"/>
  <c r="J106" i="1" s="1"/>
  <c r="D121" i="1"/>
  <c r="H121" i="1"/>
  <c r="E121" i="1"/>
  <c r="D40" i="1"/>
  <c r="H40" i="1"/>
  <c r="E40" i="1"/>
  <c r="F170" i="1"/>
  <c r="H170" i="1"/>
  <c r="E170" i="1"/>
  <c r="J170" i="1" s="1"/>
  <c r="H90" i="1"/>
  <c r="E90" i="1"/>
  <c r="J90" i="1" s="1"/>
  <c r="F90" i="1"/>
  <c r="H104" i="1"/>
  <c r="E104" i="1"/>
  <c r="D104" i="1"/>
  <c r="G143" i="1"/>
  <c r="F143" i="1"/>
  <c r="H130" i="1"/>
  <c r="E130" i="1"/>
  <c r="G130" i="1"/>
  <c r="D130" i="1"/>
  <c r="G156" i="1"/>
  <c r="F156" i="1"/>
  <c r="H151" i="1"/>
  <c r="E151" i="1"/>
  <c r="G151" i="1"/>
  <c r="D151" i="1"/>
  <c r="H78" i="1"/>
  <c r="E78" i="1"/>
  <c r="J78" i="1" s="1"/>
  <c r="F78" i="1"/>
  <c r="G113" i="1"/>
  <c r="F113" i="1"/>
  <c r="D19" i="1"/>
  <c r="H19" i="1"/>
  <c r="E19" i="1"/>
  <c r="H113" i="1"/>
  <c r="H156" i="1"/>
  <c r="H103" i="1"/>
  <c r="H3" i="1"/>
  <c r="E3" i="1"/>
  <c r="D3" i="1"/>
  <c r="C178" i="1"/>
  <c r="D178" i="1"/>
  <c r="E178" i="1"/>
  <c r="F178" i="1"/>
  <c r="G178" i="1"/>
  <c r="H178" i="1"/>
  <c r="I178" i="1"/>
  <c r="C153" i="1"/>
  <c r="D153" i="1"/>
  <c r="E153" i="1"/>
  <c r="F153" i="1"/>
  <c r="G153" i="1"/>
  <c r="H153" i="1"/>
  <c r="I153" i="1"/>
  <c r="C144" i="1"/>
  <c r="D144" i="1"/>
  <c r="E144" i="1"/>
  <c r="F144" i="1"/>
  <c r="G144" i="1"/>
  <c r="H144" i="1"/>
  <c r="I144" i="1"/>
  <c r="C136" i="1"/>
  <c r="D136" i="1"/>
  <c r="E136" i="1"/>
  <c r="F136" i="1"/>
  <c r="G136" i="1"/>
  <c r="H136" i="1"/>
  <c r="I136" i="1"/>
  <c r="J136" i="1" l="1"/>
  <c r="J153" i="1"/>
  <c r="J19" i="1"/>
  <c r="J144" i="1"/>
  <c r="J130" i="1"/>
  <c r="J121" i="1"/>
  <c r="J139" i="1"/>
  <c r="J141" i="1"/>
  <c r="J40" i="1"/>
  <c r="J104" i="1"/>
  <c r="J178" i="1"/>
  <c r="J151" i="1"/>
  <c r="J20" i="1"/>
  <c r="J3" i="1"/>
  <c r="G90" i="1"/>
  <c r="I90" i="1"/>
  <c r="G68" i="1"/>
  <c r="I68" i="1"/>
  <c r="G170" i="1"/>
  <c r="I170" i="1"/>
  <c r="G121" i="1"/>
  <c r="I121" i="1"/>
  <c r="G106" i="1"/>
  <c r="I106" i="1"/>
  <c r="I139" i="1"/>
  <c r="G139" i="1"/>
  <c r="I20" i="1"/>
  <c r="G20" i="1"/>
  <c r="I175" i="1"/>
  <c r="G175" i="1"/>
  <c r="I40" i="1"/>
  <c r="G40" i="1"/>
  <c r="I104" i="1"/>
  <c r="G104" i="1"/>
  <c r="I143" i="1"/>
  <c r="H143" i="1"/>
  <c r="I103" i="1"/>
  <c r="G103" i="1"/>
  <c r="I156" i="1"/>
  <c r="I130" i="1"/>
  <c r="I151" i="1"/>
  <c r="I113" i="1"/>
  <c r="G78" i="1"/>
  <c r="I78" i="1"/>
  <c r="I19" i="1"/>
  <c r="G19" i="1"/>
  <c r="G3" i="1"/>
  <c r="I3" i="1"/>
  <c r="D155" i="1"/>
  <c r="C155" i="1"/>
  <c r="F155" i="1"/>
  <c r="D9" i="1"/>
  <c r="F145" i="1"/>
  <c r="C145" i="1"/>
  <c r="C137" i="1"/>
  <c r="F137" i="1"/>
  <c r="F100" i="1"/>
  <c r="C100" i="1"/>
  <c r="F91" i="1"/>
  <c r="C91" i="1"/>
  <c r="F167" i="1"/>
  <c r="C167" i="1"/>
  <c r="C84" i="1"/>
  <c r="F84" i="1"/>
  <c r="C71" i="1"/>
  <c r="F71" i="1"/>
  <c r="C60" i="1"/>
  <c r="F60" i="1"/>
  <c r="F66" i="1"/>
  <c r="C66" i="1"/>
  <c r="C57" i="1"/>
  <c r="F57" i="1"/>
  <c r="C146" i="1"/>
  <c r="F146" i="1"/>
  <c r="C48" i="1"/>
  <c r="F48" i="1"/>
  <c r="C126" i="1"/>
  <c r="J64" i="1"/>
  <c r="C177" i="1"/>
  <c r="D177" i="1"/>
  <c r="E177" i="1"/>
  <c r="F177" i="1"/>
  <c r="G177" i="1"/>
  <c r="H177" i="1"/>
  <c r="I177" i="1"/>
  <c r="J177" i="1" l="1"/>
  <c r="H155" i="1"/>
  <c r="E155" i="1"/>
  <c r="J155" i="1" s="1"/>
  <c r="H145" i="1"/>
  <c r="E145" i="1"/>
  <c r="D145" i="1"/>
  <c r="D137" i="1"/>
  <c r="H137" i="1"/>
  <c r="E137" i="1"/>
  <c r="D146" i="1"/>
  <c r="D48" i="1"/>
  <c r="G60" i="1"/>
  <c r="D60" i="1"/>
  <c r="D84" i="1"/>
  <c r="H48" i="1"/>
  <c r="E48" i="1"/>
  <c r="D57" i="1"/>
  <c r="H60" i="1"/>
  <c r="E60" i="1"/>
  <c r="H84" i="1"/>
  <c r="E84" i="1"/>
  <c r="H57" i="1"/>
  <c r="E57" i="1"/>
  <c r="D167" i="1"/>
  <c r="H167" i="1"/>
  <c r="E167" i="1"/>
  <c r="H146" i="1"/>
  <c r="E146" i="1"/>
  <c r="D100" i="1"/>
  <c r="H100" i="1"/>
  <c r="E100" i="1"/>
  <c r="H91" i="1"/>
  <c r="E91" i="1"/>
  <c r="D91" i="1"/>
  <c r="D71" i="1"/>
  <c r="H71" i="1"/>
  <c r="E71" i="1"/>
  <c r="I60" i="1"/>
  <c r="H66" i="1"/>
  <c r="E66" i="1"/>
  <c r="D66" i="1"/>
  <c r="C13" i="1"/>
  <c r="F13" i="1"/>
  <c r="C28" i="1"/>
  <c r="F28" i="1"/>
  <c r="F185" i="1"/>
  <c r="C185" i="1"/>
  <c r="C183" i="1"/>
  <c r="F183" i="1"/>
  <c r="C186" i="1"/>
  <c r="F186" i="1"/>
  <c r="F181" i="1"/>
  <c r="C181" i="1"/>
  <c r="F171" i="1"/>
  <c r="C171" i="1"/>
  <c r="C165" i="1"/>
  <c r="F165" i="1"/>
  <c r="F126" i="1"/>
  <c r="D126" i="1"/>
  <c r="D148" i="1"/>
  <c r="C148" i="1"/>
  <c r="E150" i="1"/>
  <c r="C150" i="1"/>
  <c r="F150" i="1"/>
  <c r="D150" i="1"/>
  <c r="C63" i="1"/>
  <c r="C182" i="1"/>
  <c r="D182" i="1"/>
  <c r="E182" i="1"/>
  <c r="F182" i="1"/>
  <c r="G182" i="1"/>
  <c r="H182" i="1"/>
  <c r="I182" i="1"/>
  <c r="C173" i="1"/>
  <c r="D173" i="1"/>
  <c r="E173" i="1"/>
  <c r="F173" i="1"/>
  <c r="G173" i="1"/>
  <c r="H173" i="1"/>
  <c r="I173" i="1"/>
  <c r="C172" i="1"/>
  <c r="D172" i="1"/>
  <c r="E172" i="1"/>
  <c r="F172" i="1"/>
  <c r="G172" i="1"/>
  <c r="H172" i="1"/>
  <c r="I172" i="1"/>
  <c r="C169" i="1"/>
  <c r="D169" i="1"/>
  <c r="E169" i="1"/>
  <c r="F169" i="1"/>
  <c r="G169" i="1"/>
  <c r="H169" i="1"/>
  <c r="I169" i="1"/>
  <c r="C164" i="1"/>
  <c r="D164" i="1"/>
  <c r="E164" i="1"/>
  <c r="F164" i="1"/>
  <c r="G164" i="1"/>
  <c r="H164" i="1"/>
  <c r="I164" i="1"/>
  <c r="C168" i="1"/>
  <c r="D168" i="1"/>
  <c r="E168" i="1"/>
  <c r="F168" i="1"/>
  <c r="G168" i="1"/>
  <c r="H168" i="1"/>
  <c r="I168" i="1"/>
  <c r="C163" i="1"/>
  <c r="D163" i="1"/>
  <c r="E163" i="1"/>
  <c r="F163" i="1"/>
  <c r="G163" i="1"/>
  <c r="H163" i="1"/>
  <c r="I163" i="1"/>
  <c r="C162" i="1"/>
  <c r="D162" i="1"/>
  <c r="E162" i="1"/>
  <c r="F162" i="1"/>
  <c r="G162" i="1"/>
  <c r="H162" i="1"/>
  <c r="I162" i="1"/>
  <c r="C157" i="1"/>
  <c r="D157" i="1"/>
  <c r="J157" i="1" s="1"/>
  <c r="E157" i="1"/>
  <c r="F157" i="1"/>
  <c r="G157" i="1"/>
  <c r="H157" i="1"/>
  <c r="I157" i="1"/>
  <c r="C149" i="1"/>
  <c r="D149" i="1"/>
  <c r="E149" i="1"/>
  <c r="F149" i="1"/>
  <c r="G149" i="1"/>
  <c r="H149" i="1"/>
  <c r="I149" i="1"/>
  <c r="C147" i="1"/>
  <c r="D147" i="1"/>
  <c r="E147" i="1"/>
  <c r="F147" i="1"/>
  <c r="G147" i="1"/>
  <c r="H147" i="1"/>
  <c r="I147" i="1"/>
  <c r="C135" i="1"/>
  <c r="D135" i="1"/>
  <c r="E135" i="1"/>
  <c r="F135" i="1"/>
  <c r="G135" i="1"/>
  <c r="H135" i="1"/>
  <c r="I135" i="1"/>
  <c r="C129" i="1"/>
  <c r="D129" i="1"/>
  <c r="J129" i="1" s="1"/>
  <c r="E129" i="1"/>
  <c r="F129" i="1"/>
  <c r="G129" i="1"/>
  <c r="H129" i="1"/>
  <c r="I129" i="1"/>
  <c r="C128" i="1"/>
  <c r="D128" i="1"/>
  <c r="E128" i="1"/>
  <c r="F128" i="1"/>
  <c r="G128" i="1"/>
  <c r="H128" i="1"/>
  <c r="I128" i="1"/>
  <c r="C122" i="1"/>
  <c r="D122" i="1"/>
  <c r="E122" i="1"/>
  <c r="F122" i="1"/>
  <c r="G122" i="1"/>
  <c r="H122" i="1"/>
  <c r="I122" i="1"/>
  <c r="C120" i="1"/>
  <c r="D120" i="1"/>
  <c r="E120" i="1"/>
  <c r="F120" i="1"/>
  <c r="G120" i="1"/>
  <c r="H120" i="1"/>
  <c r="I120" i="1"/>
  <c r="C119" i="1"/>
  <c r="D119" i="1"/>
  <c r="J119" i="1" s="1"/>
  <c r="E119" i="1"/>
  <c r="F119" i="1"/>
  <c r="G119" i="1"/>
  <c r="H119" i="1"/>
  <c r="I119" i="1"/>
  <c r="C118" i="1"/>
  <c r="D118" i="1"/>
  <c r="E118" i="1"/>
  <c r="F118" i="1"/>
  <c r="G118" i="1"/>
  <c r="H118" i="1"/>
  <c r="I118" i="1"/>
  <c r="C111" i="1"/>
  <c r="D111" i="1"/>
  <c r="E111" i="1"/>
  <c r="F111" i="1"/>
  <c r="G111" i="1"/>
  <c r="H111" i="1"/>
  <c r="I111" i="1"/>
  <c r="C108" i="1"/>
  <c r="D108" i="1"/>
  <c r="E108" i="1"/>
  <c r="F108" i="1"/>
  <c r="G108" i="1"/>
  <c r="H108" i="1"/>
  <c r="I108" i="1"/>
  <c r="C117" i="1"/>
  <c r="D117" i="1"/>
  <c r="J117" i="1" s="1"/>
  <c r="E117" i="1"/>
  <c r="F117" i="1"/>
  <c r="G117" i="1"/>
  <c r="H117" i="1"/>
  <c r="I117" i="1"/>
  <c r="C114" i="1"/>
  <c r="D114" i="1"/>
  <c r="E114" i="1"/>
  <c r="F114" i="1"/>
  <c r="G114" i="1"/>
  <c r="H114" i="1"/>
  <c r="I114" i="1"/>
  <c r="C98" i="1"/>
  <c r="D98" i="1"/>
  <c r="E98" i="1"/>
  <c r="F98" i="1"/>
  <c r="G98" i="1"/>
  <c r="H98" i="1"/>
  <c r="I98" i="1"/>
  <c r="C61" i="1"/>
  <c r="D61" i="1"/>
  <c r="E61" i="1"/>
  <c r="F61" i="1"/>
  <c r="G61" i="1"/>
  <c r="H61" i="1"/>
  <c r="I61" i="1"/>
  <c r="C93" i="1"/>
  <c r="D93" i="1"/>
  <c r="J93" i="1" s="1"/>
  <c r="E93" i="1"/>
  <c r="F93" i="1"/>
  <c r="G93" i="1"/>
  <c r="H93" i="1"/>
  <c r="I93" i="1"/>
  <c r="C89" i="1"/>
  <c r="D89" i="1"/>
  <c r="E89" i="1"/>
  <c r="F89" i="1"/>
  <c r="G89" i="1"/>
  <c r="H89" i="1"/>
  <c r="I89" i="1"/>
  <c r="C85" i="1"/>
  <c r="D85" i="1"/>
  <c r="E85" i="1"/>
  <c r="F85" i="1"/>
  <c r="G85" i="1"/>
  <c r="H85" i="1"/>
  <c r="I85" i="1"/>
  <c r="C83" i="1"/>
  <c r="D83" i="1"/>
  <c r="E83" i="1"/>
  <c r="F83" i="1"/>
  <c r="G83" i="1"/>
  <c r="H83" i="1"/>
  <c r="I83" i="1"/>
  <c r="C81" i="1"/>
  <c r="D81" i="1"/>
  <c r="J81" i="1" s="1"/>
  <c r="E81" i="1"/>
  <c r="F81" i="1"/>
  <c r="G81" i="1"/>
  <c r="H81" i="1"/>
  <c r="I81" i="1"/>
  <c r="C88" i="1"/>
  <c r="D88" i="1"/>
  <c r="E88" i="1"/>
  <c r="F88" i="1"/>
  <c r="G88" i="1"/>
  <c r="H88" i="1"/>
  <c r="I88" i="1"/>
  <c r="C79" i="1"/>
  <c r="D79" i="1"/>
  <c r="E79" i="1"/>
  <c r="F79" i="1"/>
  <c r="G79" i="1"/>
  <c r="H79" i="1"/>
  <c r="I79" i="1"/>
  <c r="D63" i="1"/>
  <c r="J63" i="1" s="1"/>
  <c r="E63" i="1"/>
  <c r="F63" i="1"/>
  <c r="G63" i="1"/>
  <c r="H63" i="1"/>
  <c r="I63" i="1"/>
  <c r="C54" i="1"/>
  <c r="D54" i="1"/>
  <c r="E54" i="1"/>
  <c r="F54" i="1"/>
  <c r="G54" i="1"/>
  <c r="H54" i="1"/>
  <c r="I54" i="1"/>
  <c r="C52" i="1"/>
  <c r="D52" i="1"/>
  <c r="E52" i="1"/>
  <c r="F52" i="1"/>
  <c r="G52" i="1"/>
  <c r="H52" i="1"/>
  <c r="I52" i="1"/>
  <c r="C50" i="1"/>
  <c r="D50" i="1"/>
  <c r="E50" i="1"/>
  <c r="F50" i="1"/>
  <c r="G50" i="1"/>
  <c r="H50" i="1"/>
  <c r="I50" i="1"/>
  <c r="C47" i="1"/>
  <c r="D47" i="1"/>
  <c r="J47" i="1" s="1"/>
  <c r="E47" i="1"/>
  <c r="F47" i="1"/>
  <c r="G47" i="1"/>
  <c r="H47" i="1"/>
  <c r="I47" i="1"/>
  <c r="C49" i="1"/>
  <c r="D49" i="1"/>
  <c r="E49" i="1"/>
  <c r="F49" i="1"/>
  <c r="G49" i="1"/>
  <c r="H49" i="1"/>
  <c r="I49" i="1"/>
  <c r="C38" i="1"/>
  <c r="D38" i="1"/>
  <c r="E38" i="1"/>
  <c r="F38" i="1"/>
  <c r="G38" i="1"/>
  <c r="H38" i="1"/>
  <c r="I38" i="1"/>
  <c r="C34" i="1"/>
  <c r="D34" i="1"/>
  <c r="E34" i="1"/>
  <c r="F34" i="1"/>
  <c r="G34" i="1"/>
  <c r="H34" i="1"/>
  <c r="I34" i="1"/>
  <c r="C32" i="1"/>
  <c r="D32" i="1"/>
  <c r="E32" i="1"/>
  <c r="F32" i="1"/>
  <c r="G32" i="1"/>
  <c r="H32" i="1"/>
  <c r="I32" i="1"/>
  <c r="C27" i="1"/>
  <c r="D27" i="1"/>
  <c r="E27" i="1"/>
  <c r="F27" i="1"/>
  <c r="G27" i="1"/>
  <c r="H27" i="1"/>
  <c r="I27" i="1"/>
  <c r="C24" i="1"/>
  <c r="D24" i="1"/>
  <c r="E24" i="1"/>
  <c r="F24" i="1"/>
  <c r="G24" i="1"/>
  <c r="H24" i="1"/>
  <c r="I24" i="1"/>
  <c r="C18" i="1"/>
  <c r="D18" i="1"/>
  <c r="E18" i="1"/>
  <c r="F18" i="1"/>
  <c r="G18" i="1"/>
  <c r="H18" i="1"/>
  <c r="I18" i="1"/>
  <c r="C8" i="1"/>
  <c r="D8" i="1"/>
  <c r="J8" i="1" s="1"/>
  <c r="E8" i="1"/>
  <c r="F8" i="1"/>
  <c r="G8" i="1"/>
  <c r="H8" i="1"/>
  <c r="I8" i="1"/>
  <c r="C7" i="1"/>
  <c r="D7" i="1"/>
  <c r="E7" i="1"/>
  <c r="F7" i="1"/>
  <c r="G7" i="1"/>
  <c r="H7" i="1"/>
  <c r="I7" i="1"/>
  <c r="C4" i="1"/>
  <c r="D4" i="1"/>
  <c r="E4" i="1"/>
  <c r="F4" i="1"/>
  <c r="G4" i="1"/>
  <c r="H4" i="1"/>
  <c r="I4" i="1"/>
  <c r="C2" i="1"/>
  <c r="D2" i="1"/>
  <c r="E2" i="1"/>
  <c r="F2" i="1"/>
  <c r="G2" i="1"/>
  <c r="H2" i="1"/>
  <c r="I2" i="1"/>
  <c r="J164" i="1" l="1"/>
  <c r="J2" i="1"/>
  <c r="J18" i="1"/>
  <c r="J34" i="1"/>
  <c r="J50" i="1"/>
  <c r="J83" i="1"/>
  <c r="J108" i="1"/>
  <c r="J120" i="1"/>
  <c r="J135" i="1"/>
  <c r="J162" i="1"/>
  <c r="J169" i="1"/>
  <c r="J32" i="1"/>
  <c r="J182" i="1"/>
  <c r="J167" i="1"/>
  <c r="J91" i="1"/>
  <c r="J84" i="1"/>
  <c r="J145" i="1"/>
  <c r="J7" i="1"/>
  <c r="J27" i="1"/>
  <c r="J49" i="1"/>
  <c r="J54" i="1"/>
  <c r="J88" i="1"/>
  <c r="J89" i="1"/>
  <c r="J114" i="1"/>
  <c r="J118" i="1"/>
  <c r="J128" i="1"/>
  <c r="J149" i="1"/>
  <c r="J168" i="1"/>
  <c r="J173" i="1"/>
  <c r="J71" i="1"/>
  <c r="J48" i="1"/>
  <c r="J137" i="1"/>
  <c r="J150" i="1"/>
  <c r="J4" i="1"/>
  <c r="J24" i="1"/>
  <c r="J38" i="1"/>
  <c r="J52" i="1"/>
  <c r="J79" i="1"/>
  <c r="J85" i="1"/>
  <c r="J98" i="1"/>
  <c r="J111" i="1"/>
  <c r="J122" i="1"/>
  <c r="J147" i="1"/>
  <c r="J163" i="1"/>
  <c r="J172" i="1"/>
  <c r="J146" i="1"/>
  <c r="J61" i="1"/>
  <c r="J66" i="1"/>
  <c r="J100" i="1"/>
  <c r="J57" i="1"/>
  <c r="J60" i="1"/>
  <c r="I155" i="1"/>
  <c r="G155" i="1"/>
  <c r="I145" i="1"/>
  <c r="G145" i="1"/>
  <c r="I137" i="1"/>
  <c r="G137" i="1"/>
  <c r="H28" i="1"/>
  <c r="E28" i="1"/>
  <c r="I84" i="1"/>
  <c r="G84" i="1"/>
  <c r="D13" i="1"/>
  <c r="H13" i="1"/>
  <c r="E13" i="1"/>
  <c r="I167" i="1"/>
  <c r="G167" i="1"/>
  <c r="I57" i="1"/>
  <c r="G57" i="1"/>
  <c r="I48" i="1"/>
  <c r="G48" i="1"/>
  <c r="D28" i="1"/>
  <c r="J28" i="1" s="1"/>
  <c r="I146" i="1"/>
  <c r="G146" i="1"/>
  <c r="I100" i="1"/>
  <c r="G100" i="1"/>
  <c r="I91" i="1"/>
  <c r="G91" i="1"/>
  <c r="I71" i="1"/>
  <c r="G71" i="1"/>
  <c r="I66" i="1"/>
  <c r="G66" i="1"/>
  <c r="D185" i="1"/>
  <c r="H185" i="1"/>
  <c r="E185" i="1"/>
  <c r="H183" i="1"/>
  <c r="E183" i="1"/>
  <c r="D183" i="1"/>
  <c r="D186" i="1"/>
  <c r="H186" i="1"/>
  <c r="E186" i="1"/>
  <c r="D181" i="1"/>
  <c r="G181" i="1"/>
  <c r="H181" i="1"/>
  <c r="E181" i="1"/>
  <c r="D171" i="1"/>
  <c r="D165" i="1"/>
  <c r="H171" i="1"/>
  <c r="E171" i="1"/>
  <c r="H126" i="1"/>
  <c r="E126" i="1"/>
  <c r="J126" i="1" s="1"/>
  <c r="H165" i="1"/>
  <c r="E165" i="1"/>
  <c r="F148" i="1"/>
  <c r="H148" i="1"/>
  <c r="E148" i="1"/>
  <c r="J148" i="1" s="1"/>
  <c r="H150" i="1"/>
  <c r="J165" i="1" l="1"/>
  <c r="J186" i="1"/>
  <c r="J171" i="1"/>
  <c r="J181" i="1"/>
  <c r="J183" i="1"/>
  <c r="J185" i="1"/>
  <c r="J13" i="1"/>
  <c r="I13" i="1"/>
  <c r="G13" i="1"/>
  <c r="I28" i="1"/>
  <c r="G28" i="1"/>
  <c r="I185" i="1"/>
  <c r="G185" i="1"/>
  <c r="I183" i="1"/>
  <c r="G183" i="1"/>
  <c r="I186" i="1"/>
  <c r="G186" i="1"/>
  <c r="I181" i="1"/>
  <c r="I171" i="1"/>
  <c r="G171" i="1"/>
  <c r="I150" i="1"/>
  <c r="G150" i="1"/>
  <c r="I126" i="1"/>
  <c r="G126" i="1"/>
  <c r="I165" i="1"/>
  <c r="G165" i="1"/>
  <c r="I148" i="1"/>
  <c r="G148" i="1"/>
  <c r="C161" i="1" l="1"/>
  <c r="D161" i="1"/>
  <c r="E161" i="1"/>
  <c r="F161" i="1"/>
  <c r="G161" i="1"/>
  <c r="H161" i="1"/>
  <c r="I161" i="1"/>
  <c r="C140" i="1"/>
  <c r="D140" i="1"/>
  <c r="E140" i="1"/>
  <c r="F140" i="1"/>
  <c r="G140" i="1"/>
  <c r="H140" i="1"/>
  <c r="I140" i="1"/>
  <c r="C105" i="1"/>
  <c r="D105" i="1"/>
  <c r="E105" i="1"/>
  <c r="F105" i="1"/>
  <c r="G105" i="1"/>
  <c r="H105" i="1"/>
  <c r="I105" i="1"/>
  <c r="C96" i="1"/>
  <c r="D96" i="1"/>
  <c r="E96" i="1"/>
  <c r="F96" i="1"/>
  <c r="G96" i="1"/>
  <c r="H96" i="1"/>
  <c r="I96" i="1"/>
  <c r="C95" i="1"/>
  <c r="D95" i="1"/>
  <c r="E95" i="1"/>
  <c r="F95" i="1"/>
  <c r="G95" i="1"/>
  <c r="H95" i="1"/>
  <c r="I95" i="1"/>
  <c r="C77" i="1"/>
  <c r="D77" i="1"/>
  <c r="E77" i="1"/>
  <c r="F77" i="1"/>
  <c r="G77" i="1"/>
  <c r="H77" i="1"/>
  <c r="I77" i="1"/>
  <c r="C67" i="1"/>
  <c r="D67" i="1"/>
  <c r="E67" i="1"/>
  <c r="F67" i="1"/>
  <c r="G67" i="1"/>
  <c r="H67" i="1"/>
  <c r="I67" i="1"/>
  <c r="C29" i="1"/>
  <c r="D29" i="1"/>
  <c r="E29" i="1"/>
  <c r="F29" i="1"/>
  <c r="G29" i="1"/>
  <c r="H29" i="1"/>
  <c r="I29" i="1"/>
  <c r="C46" i="1"/>
  <c r="D46" i="1"/>
  <c r="E46" i="1"/>
  <c r="F46" i="1"/>
  <c r="G46" i="1"/>
  <c r="H46" i="1"/>
  <c r="I46" i="1"/>
  <c r="C43" i="1"/>
  <c r="D43" i="1"/>
  <c r="E43" i="1"/>
  <c r="F43" i="1"/>
  <c r="G43" i="1"/>
  <c r="H43" i="1"/>
  <c r="I43" i="1"/>
  <c r="C35" i="1"/>
  <c r="D35" i="1"/>
  <c r="E35" i="1"/>
  <c r="F35" i="1"/>
  <c r="G35" i="1"/>
  <c r="H35" i="1"/>
  <c r="I35" i="1"/>
  <c r="C26" i="1"/>
  <c r="D26" i="1"/>
  <c r="E26" i="1"/>
  <c r="F26" i="1"/>
  <c r="G26" i="1"/>
  <c r="H26" i="1"/>
  <c r="I26" i="1"/>
  <c r="C16" i="1"/>
  <c r="D16" i="1"/>
  <c r="E16" i="1"/>
  <c r="F16" i="1"/>
  <c r="G16" i="1"/>
  <c r="H16" i="1"/>
  <c r="I16" i="1"/>
  <c r="C9" i="1"/>
  <c r="E9" i="1"/>
  <c r="J9" i="1" s="1"/>
  <c r="F9" i="1"/>
  <c r="G9" i="1"/>
  <c r="H9" i="1"/>
  <c r="I9" i="1"/>
  <c r="J16" i="1" l="1"/>
  <c r="J46" i="1"/>
  <c r="J95" i="1"/>
  <c r="J77" i="1"/>
  <c r="J35" i="1"/>
  <c r="J67" i="1"/>
  <c r="J105" i="1"/>
  <c r="J43" i="1"/>
  <c r="J140" i="1"/>
  <c r="J161" i="1"/>
  <c r="J26" i="1"/>
  <c r="J29" i="1"/>
  <c r="J96" i="1"/>
  <c r="C159" i="1"/>
  <c r="D159" i="1"/>
  <c r="E159" i="1"/>
  <c r="C124" i="1"/>
  <c r="D124" i="1"/>
  <c r="E124" i="1"/>
  <c r="C134" i="1"/>
  <c r="D134" i="1"/>
  <c r="E134" i="1"/>
  <c r="C127" i="1"/>
  <c r="D127" i="1"/>
  <c r="E127" i="1"/>
  <c r="C112" i="1"/>
  <c r="D112" i="1"/>
  <c r="E112" i="1"/>
  <c r="C87" i="1"/>
  <c r="D87" i="1"/>
  <c r="E87" i="1"/>
  <c r="C80" i="1"/>
  <c r="D80" i="1"/>
  <c r="E80" i="1"/>
  <c r="F80" i="1"/>
  <c r="C76" i="1"/>
  <c r="D76" i="1"/>
  <c r="E76" i="1"/>
  <c r="C74" i="1"/>
  <c r="D74" i="1"/>
  <c r="E74" i="1"/>
  <c r="C62" i="1"/>
  <c r="D62" i="1"/>
  <c r="E62" i="1"/>
  <c r="F62" i="1"/>
  <c r="C53" i="1"/>
  <c r="D53" i="1"/>
  <c r="E53" i="1"/>
  <c r="C51" i="1"/>
  <c r="D51" i="1"/>
  <c r="E51" i="1"/>
  <c r="C42" i="1"/>
  <c r="D42" i="1"/>
  <c r="E42" i="1"/>
  <c r="C36" i="1"/>
  <c r="D36" i="1"/>
  <c r="E36" i="1"/>
  <c r="C31" i="1"/>
  <c r="D31" i="1"/>
  <c r="E31" i="1"/>
  <c r="G31" i="1"/>
  <c r="C30" i="1"/>
  <c r="D30" i="1"/>
  <c r="E30" i="1"/>
  <c r="C25" i="1"/>
  <c r="D25" i="1"/>
  <c r="E25" i="1"/>
  <c r="C115" i="1"/>
  <c r="D115" i="1"/>
  <c r="E115" i="1"/>
  <c r="C12" i="1"/>
  <c r="D12" i="1"/>
  <c r="E12" i="1"/>
  <c r="F12" i="1"/>
  <c r="G12" i="1"/>
  <c r="H12" i="1"/>
  <c r="I12" i="1"/>
  <c r="C21" i="1"/>
  <c r="D21" i="1"/>
  <c r="E21" i="1"/>
  <c r="F21" i="1"/>
  <c r="G21" i="1"/>
  <c r="H21" i="1"/>
  <c r="I21" i="1"/>
  <c r="C37" i="1"/>
  <c r="D37" i="1"/>
  <c r="E37" i="1"/>
  <c r="F37" i="1"/>
  <c r="G37" i="1"/>
  <c r="H37" i="1"/>
  <c r="I37" i="1"/>
  <c r="C23" i="1"/>
  <c r="D23" i="1"/>
  <c r="E23" i="1"/>
  <c r="F23" i="1"/>
  <c r="G23" i="1"/>
  <c r="H23" i="1"/>
  <c r="I23" i="1"/>
  <c r="C187" i="1"/>
  <c r="D187" i="1"/>
  <c r="E187" i="1"/>
  <c r="F187" i="1"/>
  <c r="G187" i="1"/>
  <c r="H187" i="1"/>
  <c r="I187" i="1"/>
  <c r="C75" i="1"/>
  <c r="D75" i="1"/>
  <c r="E75" i="1"/>
  <c r="F75" i="1"/>
  <c r="G75" i="1"/>
  <c r="H75" i="1"/>
  <c r="I75" i="1"/>
  <c r="C158" i="1"/>
  <c r="D158" i="1"/>
  <c r="E158" i="1"/>
  <c r="F158" i="1"/>
  <c r="G158" i="1"/>
  <c r="H158" i="1"/>
  <c r="I158" i="1"/>
  <c r="G134" i="1"/>
  <c r="F25" i="1"/>
  <c r="F30" i="1"/>
  <c r="F31" i="1"/>
  <c r="H36" i="1"/>
  <c r="F42" i="1"/>
  <c r="F51" i="1"/>
  <c r="H62" i="1"/>
  <c r="H159" i="1"/>
  <c r="H76" i="1"/>
  <c r="H134" i="1"/>
  <c r="F124" i="1"/>
  <c r="J158" i="1" l="1"/>
  <c r="J37" i="1"/>
  <c r="J51" i="1"/>
  <c r="J75" i="1"/>
  <c r="J21" i="1"/>
  <c r="J30" i="1"/>
  <c r="J31" i="1"/>
  <c r="J53" i="1"/>
  <c r="J62" i="1"/>
  <c r="J112" i="1"/>
  <c r="J87" i="1"/>
  <c r="J159" i="1"/>
  <c r="J124" i="1"/>
  <c r="J187" i="1"/>
  <c r="J12" i="1"/>
  <c r="J74" i="1"/>
  <c r="J127" i="1"/>
  <c r="J25" i="1"/>
  <c r="J23" i="1"/>
  <c r="J115" i="1"/>
  <c r="J42" i="1"/>
  <c r="J76" i="1"/>
  <c r="J80" i="1"/>
  <c r="J134" i="1"/>
  <c r="J36" i="1"/>
  <c r="F53" i="1"/>
  <c r="F115" i="1"/>
  <c r="G62" i="1"/>
  <c r="I62" i="1"/>
  <c r="G30" i="1"/>
  <c r="I30" i="1"/>
  <c r="H53" i="1"/>
  <c r="I134" i="1"/>
  <c r="F87" i="1"/>
  <c r="H87" i="1"/>
  <c r="F74" i="1"/>
  <c r="H115" i="1"/>
  <c r="H127" i="1"/>
  <c r="F127" i="1"/>
  <c r="F36" i="1"/>
  <c r="G112" i="1"/>
  <c r="G80" i="1"/>
  <c r="G76" i="1"/>
  <c r="I76" i="1"/>
  <c r="H74" i="1"/>
  <c r="F134" i="1"/>
  <c r="F159" i="1"/>
  <c r="H124" i="1"/>
  <c r="H112" i="1"/>
  <c r="H80" i="1"/>
  <c r="H51" i="1"/>
  <c r="G51" i="1"/>
  <c r="F76" i="1"/>
  <c r="H30" i="1"/>
  <c r="F112" i="1"/>
  <c r="H42" i="1"/>
  <c r="H25" i="1"/>
  <c r="H31" i="1" l="1"/>
  <c r="I31" i="1"/>
  <c r="G25" i="1"/>
  <c r="I25" i="1"/>
  <c r="I51" i="1"/>
  <c r="G87" i="1"/>
  <c r="I87" i="1"/>
  <c r="G115" i="1"/>
  <c r="I115" i="1"/>
  <c r="G42" i="1"/>
  <c r="I42" i="1"/>
  <c r="I112" i="1"/>
  <c r="G36" i="1"/>
  <c r="I36" i="1"/>
  <c r="I124" i="1"/>
  <c r="G124" i="1"/>
  <c r="G159" i="1"/>
  <c r="I159" i="1"/>
  <c r="I80" i="1"/>
  <c r="I127" i="1"/>
  <c r="G127" i="1"/>
  <c r="I74" i="1"/>
  <c r="G74" i="1"/>
  <c r="I53" i="1"/>
  <c r="G53" i="1"/>
  <c r="F101" i="1" l="1"/>
  <c r="F166" i="1" l="1"/>
  <c r="F10" i="1"/>
  <c r="F65" i="1" l="1"/>
  <c r="F15" i="1" l="1"/>
  <c r="F99" i="1" l="1"/>
  <c r="C15" i="1"/>
  <c r="C99" i="1"/>
  <c r="C65" i="1"/>
  <c r="C101" i="1"/>
  <c r="C166" i="1"/>
  <c r="C10" i="1"/>
  <c r="D101" i="1" l="1"/>
  <c r="D99" i="1"/>
  <c r="H10" i="1"/>
  <c r="E10" i="1"/>
  <c r="D65" i="1"/>
  <c r="E99" i="1"/>
  <c r="H99" i="1"/>
  <c r="D10" i="1"/>
  <c r="J10" i="1" s="1"/>
  <c r="E101" i="1"/>
  <c r="H101" i="1"/>
  <c r="H65" i="1"/>
  <c r="E65" i="1"/>
  <c r="D15" i="1"/>
  <c r="E166" i="1"/>
  <c r="H166" i="1"/>
  <c r="G166" i="1"/>
  <c r="D166" i="1"/>
  <c r="H15" i="1"/>
  <c r="E15" i="1"/>
  <c r="F22" i="1"/>
  <c r="C22" i="1"/>
  <c r="J15" i="1" l="1"/>
  <c r="J65" i="1"/>
  <c r="J101" i="1"/>
  <c r="J99" i="1"/>
  <c r="J166" i="1"/>
  <c r="G10" i="1"/>
  <c r="I10" i="1"/>
  <c r="G65" i="1"/>
  <c r="I65" i="1"/>
  <c r="G22" i="1"/>
  <c r="D22" i="1"/>
  <c r="I99" i="1"/>
  <c r="G99" i="1"/>
  <c r="H22" i="1"/>
  <c r="E22" i="1"/>
  <c r="I15" i="1"/>
  <c r="G15" i="1"/>
  <c r="I166" i="1"/>
  <c r="I101" i="1"/>
  <c r="G101" i="1"/>
  <c r="I22" i="1"/>
  <c r="J22" i="1" l="1"/>
  <c r="C5" i="1"/>
  <c r="F5" i="1"/>
  <c r="F160" i="1"/>
  <c r="C160" i="1"/>
  <c r="D160" i="1"/>
  <c r="C125" i="1"/>
  <c r="D125" i="1"/>
  <c r="F125" i="1"/>
  <c r="E154" i="1"/>
  <c r="D154" i="1"/>
  <c r="C154" i="1"/>
  <c r="F154" i="1"/>
  <c r="F152" i="1"/>
  <c r="D152" i="1"/>
  <c r="E152" i="1"/>
  <c r="C152" i="1"/>
  <c r="F138" i="1"/>
  <c r="D138" i="1"/>
  <c r="C138" i="1"/>
  <c r="F133" i="1"/>
  <c r="D133" i="1"/>
  <c r="C133" i="1"/>
  <c r="F132" i="1"/>
  <c r="D132" i="1"/>
  <c r="C132" i="1"/>
  <c r="C123" i="1"/>
  <c r="F123" i="1"/>
  <c r="D123" i="1"/>
  <c r="E107" i="1"/>
  <c r="F107" i="1"/>
  <c r="D107" i="1"/>
  <c r="C107" i="1"/>
  <c r="D102" i="1"/>
  <c r="C102" i="1"/>
  <c r="F102" i="1"/>
  <c r="D97" i="1"/>
  <c r="C97" i="1"/>
  <c r="F97" i="1"/>
  <c r="E97" i="1"/>
  <c r="C94" i="1"/>
  <c r="F94" i="1"/>
  <c r="E94" i="1"/>
  <c r="D94" i="1"/>
  <c r="D86" i="1"/>
  <c r="C86" i="1"/>
  <c r="F86" i="1"/>
  <c r="C82" i="1"/>
  <c r="F82" i="1"/>
  <c r="D82" i="1"/>
  <c r="F56" i="1"/>
  <c r="E56" i="1"/>
  <c r="D56" i="1"/>
  <c r="C56" i="1"/>
  <c r="F73" i="1"/>
  <c r="D73" i="1"/>
  <c r="C73" i="1"/>
  <c r="C72" i="1"/>
  <c r="F72" i="1"/>
  <c r="E72" i="1"/>
  <c r="D72" i="1"/>
  <c r="C70" i="1"/>
  <c r="F70" i="1"/>
  <c r="E70" i="1"/>
  <c r="D70" i="1"/>
  <c r="D59" i="1"/>
  <c r="C59" i="1"/>
  <c r="F59" i="1"/>
  <c r="E59" i="1"/>
  <c r="C64" i="1"/>
  <c r="F64" i="1"/>
  <c r="D64" i="1"/>
  <c r="C55" i="1"/>
  <c r="F55" i="1"/>
  <c r="D55" i="1"/>
  <c r="D58" i="1"/>
  <c r="C58" i="1"/>
  <c r="F58" i="1"/>
  <c r="D44" i="1"/>
  <c r="C44" i="1"/>
  <c r="F44" i="1"/>
  <c r="C45" i="1"/>
  <c r="F45" i="1"/>
  <c r="E45" i="1"/>
  <c r="D45" i="1"/>
  <c r="D41" i="1"/>
  <c r="C41" i="1"/>
  <c r="F41" i="1"/>
  <c r="D39" i="1"/>
  <c r="E39" i="1"/>
  <c r="C39" i="1"/>
  <c r="F39" i="1"/>
  <c r="E33" i="1"/>
  <c r="D33" i="1"/>
  <c r="C33" i="1"/>
  <c r="F33" i="1"/>
  <c r="D116" i="1"/>
  <c r="C116" i="1"/>
  <c r="F116" i="1"/>
  <c r="D14" i="1"/>
  <c r="C14" i="1"/>
  <c r="F14" i="1"/>
  <c r="E14" i="1"/>
  <c r="E17" i="1"/>
  <c r="D17" i="1"/>
  <c r="C17" i="1"/>
  <c r="F17" i="1"/>
  <c r="D11" i="1"/>
  <c r="C11" i="1"/>
  <c r="F11" i="1"/>
  <c r="C6" i="1"/>
  <c r="F6" i="1"/>
  <c r="F69" i="1"/>
  <c r="E69" i="1"/>
  <c r="D69" i="1"/>
  <c r="C69" i="1"/>
  <c r="F131" i="1"/>
  <c r="D131" i="1"/>
  <c r="C131" i="1"/>
  <c r="J94" i="1" l="1"/>
  <c r="J107" i="1"/>
  <c r="J14" i="1"/>
  <c r="J33" i="1"/>
  <c r="J59" i="1"/>
  <c r="J69" i="1"/>
  <c r="J152" i="1"/>
  <c r="J154" i="1"/>
  <c r="J17" i="1"/>
  <c r="J39" i="1"/>
  <c r="J45" i="1"/>
  <c r="J70" i="1"/>
  <c r="J72" i="1"/>
  <c r="J56" i="1"/>
  <c r="J97" i="1"/>
  <c r="D6" i="1"/>
  <c r="H116" i="1"/>
  <c r="E116" i="1"/>
  <c r="J116" i="1" s="1"/>
  <c r="H41" i="1"/>
  <c r="E41" i="1"/>
  <c r="J41" i="1" s="1"/>
  <c r="H58" i="1"/>
  <c r="E58" i="1"/>
  <c r="J58" i="1" s="1"/>
  <c r="H86" i="1"/>
  <c r="E86" i="1"/>
  <c r="J86" i="1" s="1"/>
  <c r="H125" i="1"/>
  <c r="E125" i="1"/>
  <c r="J125" i="1" s="1"/>
  <c r="D5" i="1"/>
  <c r="H6" i="1"/>
  <c r="E6" i="1"/>
  <c r="H55" i="1"/>
  <c r="E55" i="1"/>
  <c r="J55" i="1" s="1"/>
  <c r="H64" i="1"/>
  <c r="E64" i="1"/>
  <c r="H82" i="1"/>
  <c r="E82" i="1"/>
  <c r="J82" i="1" s="1"/>
  <c r="H123" i="1"/>
  <c r="E123" i="1"/>
  <c r="J123" i="1" s="1"/>
  <c r="H5" i="1"/>
  <c r="E5" i="1"/>
  <c r="H73" i="1"/>
  <c r="E73" i="1"/>
  <c r="J73" i="1" s="1"/>
  <c r="H132" i="1"/>
  <c r="E132" i="1"/>
  <c r="J132" i="1" s="1"/>
  <c r="H133" i="1"/>
  <c r="E133" i="1"/>
  <c r="J133" i="1" s="1"/>
  <c r="H138" i="1"/>
  <c r="E138" i="1"/>
  <c r="J138" i="1" s="1"/>
  <c r="H160" i="1"/>
  <c r="E160" i="1"/>
  <c r="J160" i="1" s="1"/>
  <c r="H131" i="1"/>
  <c r="E131" i="1"/>
  <c r="J131" i="1" s="1"/>
  <c r="H11" i="1"/>
  <c r="E11" i="1"/>
  <c r="J11" i="1" s="1"/>
  <c r="H44" i="1"/>
  <c r="E44" i="1"/>
  <c r="J44" i="1" s="1"/>
  <c r="H102" i="1"/>
  <c r="E102" i="1"/>
  <c r="J102" i="1" s="1"/>
  <c r="H154" i="1"/>
  <c r="G154" i="1"/>
  <c r="H152" i="1"/>
  <c r="G152" i="1"/>
  <c r="H107" i="1"/>
  <c r="G107" i="1"/>
  <c r="H97" i="1"/>
  <c r="G97" i="1"/>
  <c r="H94" i="1"/>
  <c r="G94" i="1"/>
  <c r="H56" i="1"/>
  <c r="G56" i="1"/>
  <c r="H72" i="1"/>
  <c r="G72" i="1"/>
  <c r="H70" i="1"/>
  <c r="G70" i="1"/>
  <c r="H59" i="1"/>
  <c r="G59" i="1"/>
  <c r="H45" i="1"/>
  <c r="G45" i="1"/>
  <c r="H39" i="1"/>
  <c r="G39" i="1"/>
  <c r="H33" i="1"/>
  <c r="G33" i="1"/>
  <c r="H14" i="1"/>
  <c r="G14" i="1"/>
  <c r="H17" i="1"/>
  <c r="G17" i="1"/>
  <c r="H69" i="1"/>
  <c r="G69" i="1"/>
  <c r="J6" i="1" l="1"/>
  <c r="J5" i="1"/>
  <c r="I131" i="1"/>
  <c r="G131" i="1"/>
  <c r="I82" i="1"/>
  <c r="G82" i="1"/>
  <c r="I123" i="1"/>
  <c r="G123" i="1"/>
  <c r="I6" i="1"/>
  <c r="G6" i="1"/>
  <c r="I58" i="1"/>
  <c r="G58" i="1"/>
  <c r="I64" i="1"/>
  <c r="G64" i="1"/>
  <c r="I73" i="1"/>
  <c r="G73" i="1"/>
  <c r="G5" i="1"/>
  <c r="I5" i="1"/>
  <c r="I133" i="1"/>
  <c r="G133" i="1"/>
  <c r="I160" i="1"/>
  <c r="G160" i="1"/>
  <c r="I11" i="1"/>
  <c r="G11" i="1"/>
  <c r="I116" i="1"/>
  <c r="G116" i="1"/>
  <c r="I41" i="1"/>
  <c r="G41" i="1"/>
  <c r="I86" i="1"/>
  <c r="G86" i="1"/>
  <c r="I132" i="1"/>
  <c r="G132" i="1"/>
  <c r="I138" i="1"/>
  <c r="G138" i="1"/>
  <c r="I125" i="1"/>
  <c r="G125" i="1"/>
  <c r="I44" i="1"/>
  <c r="G44" i="1"/>
  <c r="I55" i="1"/>
  <c r="G55" i="1"/>
  <c r="I102" i="1"/>
  <c r="G102" i="1"/>
  <c r="I154" i="1"/>
  <c r="I152" i="1"/>
  <c r="I107" i="1"/>
  <c r="I97" i="1"/>
  <c r="I94" i="1"/>
  <c r="I56" i="1"/>
  <c r="I72" i="1"/>
  <c r="I70" i="1"/>
  <c r="I59" i="1"/>
  <c r="I45" i="1"/>
  <c r="I39" i="1"/>
  <c r="I33" i="1"/>
  <c r="I14" i="1"/>
  <c r="I17" i="1"/>
  <c r="I69" i="1"/>
  <c r="F142" i="1" l="1"/>
  <c r="E142" i="1"/>
  <c r="D142" i="1"/>
  <c r="C142" i="1"/>
  <c r="J142" i="1" l="1"/>
  <c r="H142" i="1"/>
  <c r="G142" i="1"/>
  <c r="I142" i="1" l="1"/>
  <c r="F92" i="1" l="1"/>
  <c r="C92" i="1"/>
  <c r="D92" i="1" l="1"/>
  <c r="H92" i="1"/>
  <c r="E92" i="1"/>
  <c r="J92" i="1" l="1"/>
  <c r="I92" i="1"/>
  <c r="G92" i="1"/>
</calcChain>
</file>

<file path=xl/sharedStrings.xml><?xml version="1.0" encoding="utf-8"?>
<sst xmlns="http://schemas.openxmlformats.org/spreadsheetml/2006/main" count="760" uniqueCount="412">
  <si>
    <t>Name</t>
  </si>
  <si>
    <t>Rank</t>
  </si>
  <si>
    <t>Tuition and fees</t>
  </si>
  <si>
    <t>Undergrad Enrollment</t>
  </si>
  <si>
    <t>Princeton University</t>
  </si>
  <si>
    <t>Harvard University</t>
  </si>
  <si>
    <t>University of Chicago</t>
  </si>
  <si>
    <t>Yale University</t>
  </si>
  <si>
    <t>Columbia University</t>
  </si>
  <si>
    <t>Stanford University</t>
  </si>
  <si>
    <t>Massachusetts Institute of Technology</t>
  </si>
  <si>
    <t>University of Pennsylvania</t>
  </si>
  <si>
    <t>Duke University</t>
  </si>
  <si>
    <t>Cornell University</t>
  </si>
  <si>
    <t>Johns Hopkins University</t>
  </si>
  <si>
    <t>Dartmouth College</t>
  </si>
  <si>
    <t>Northwestern University</t>
  </si>
  <si>
    <t>Brown University</t>
  </si>
  <si>
    <t>Rice University</t>
  </si>
  <si>
    <t>University of Notre Dame</t>
  </si>
  <si>
    <t>Vanderbilt University</t>
  </si>
  <si>
    <t>Washington University in St. Louis</t>
  </si>
  <si>
    <t>Emory University</t>
  </si>
  <si>
    <t>Georgetown University</t>
  </si>
  <si>
    <t>University of California--Berkeley</t>
  </si>
  <si>
    <t>University of Southern California</t>
  </si>
  <si>
    <t>Carnegie Mellon University</t>
  </si>
  <si>
    <t>University of California--Los Angeles</t>
  </si>
  <si>
    <t>University of Virginia</t>
  </si>
  <si>
    <t>Tufts University</t>
  </si>
  <si>
    <t>University of Michigan--Ann Arbor</t>
  </si>
  <si>
    <t>University of North Carolina--Chapel Hill</t>
  </si>
  <si>
    <t>Boston College</t>
  </si>
  <si>
    <t>College of William &amp; Mary</t>
  </si>
  <si>
    <t>University of Rochester</t>
  </si>
  <si>
    <t>Georgia Institute of Technology</t>
  </si>
  <si>
    <t>New York University</t>
  </si>
  <si>
    <t>Case Western Reserve University</t>
  </si>
  <si>
    <t>University of California--Santa Barbara</t>
  </si>
  <si>
    <t>Boston University</t>
  </si>
  <si>
    <t>Northeastern University</t>
  </si>
  <si>
    <t>Rensselaer Polytechnic Institute</t>
  </si>
  <si>
    <t>Tulane University</t>
  </si>
  <si>
    <t>University of California--Irvine</t>
  </si>
  <si>
    <t>Lehigh University</t>
  </si>
  <si>
    <t>University of California--Davis</t>
  </si>
  <si>
    <t>University of California--San Diego</t>
  </si>
  <si>
    <t>University of Illinois--Urbana-Champaign</t>
  </si>
  <si>
    <t>University of Miami</t>
  </si>
  <si>
    <t>University of Wisconsin--Madison</t>
  </si>
  <si>
    <t>University of Florida</t>
  </si>
  <si>
    <t>Villanova University</t>
  </si>
  <si>
    <t>Pennsylvania State University--University Park</t>
  </si>
  <si>
    <t>Ohio State University--Columbus</t>
  </si>
  <si>
    <t>University of Washington</t>
  </si>
  <si>
    <t>George Washington University</t>
  </si>
  <si>
    <t>Southern Methodist University</t>
  </si>
  <si>
    <t>University of Georgia</t>
  </si>
  <si>
    <t>University of Texas--Austin</t>
  </si>
  <si>
    <t>Fordham University</t>
  </si>
  <si>
    <t>Purdue University--West Lafayette</t>
  </si>
  <si>
    <t>Syracuse University</t>
  </si>
  <si>
    <t>University of Connecticut</t>
  </si>
  <si>
    <t>University of Maryland--College Park</t>
  </si>
  <si>
    <t>Clemson University</t>
  </si>
  <si>
    <t>University of Pittsburgh</t>
  </si>
  <si>
    <t>Rutgers University--New Brunswick</t>
  </si>
  <si>
    <t>Baylor University</t>
  </si>
  <si>
    <t>University of Minnesota--Twin Cities</t>
  </si>
  <si>
    <t>American University</t>
  </si>
  <si>
    <t>Texas A&amp;M University--College Station</t>
  </si>
  <si>
    <t>University of Massachusetts--Amherst</t>
  </si>
  <si>
    <t>Virginia Tech</t>
  </si>
  <si>
    <t>Miami University--Oxford</t>
  </si>
  <si>
    <t>University of California--Santa Cruz</t>
  </si>
  <si>
    <t>University of Delaware</t>
  </si>
  <si>
    <t>Michigan State University</t>
  </si>
  <si>
    <t>Texas Christian University</t>
  </si>
  <si>
    <t>University of Iowa</t>
  </si>
  <si>
    <t>Binghamton University--SUNY</t>
  </si>
  <si>
    <t>Indiana University--Bloomington</t>
  </si>
  <si>
    <t>Marquette University</t>
  </si>
  <si>
    <t>University of Denver</t>
  </si>
  <si>
    <t>University of San Diego</t>
  </si>
  <si>
    <t>Florida State University</t>
  </si>
  <si>
    <t>North Carolina State University--Raleigh</t>
  </si>
  <si>
    <t>University of Colorado--Boulder</t>
  </si>
  <si>
    <t>University of Vermont</t>
  </si>
  <si>
    <t>Drexel University</t>
  </si>
  <si>
    <t>Saint Louis University</t>
  </si>
  <si>
    <t>Stony Brook University--SUNY</t>
  </si>
  <si>
    <t>Auburn University</t>
  </si>
  <si>
    <t>Loyola University Chicago</t>
  </si>
  <si>
    <t>University at Buffalo--SUNY</t>
  </si>
  <si>
    <t>University of Alabama</t>
  </si>
  <si>
    <t>University of Oregon</t>
  </si>
  <si>
    <t>University of Tennessee</t>
  </si>
  <si>
    <t>Rochester Institute of Technology</t>
  </si>
  <si>
    <t>University of New Hampshire</t>
  </si>
  <si>
    <t>University of San Francisco</t>
  </si>
  <si>
    <t>University of South Carolina</t>
  </si>
  <si>
    <t>Iowa State University</t>
  </si>
  <si>
    <t>University of Dayton</t>
  </si>
  <si>
    <t>University of Missouri</t>
  </si>
  <si>
    <t>University of Nebraska--Lincoln</t>
  </si>
  <si>
    <t>University of Oklahoma</t>
  </si>
  <si>
    <t>University of Utah</t>
  </si>
  <si>
    <t>Michigan Technological University</t>
  </si>
  <si>
    <t>Seton Hall University</t>
  </si>
  <si>
    <t>Temple University</t>
  </si>
  <si>
    <t>University of California--Riverside</t>
  </si>
  <si>
    <t>University of Kansas</t>
  </si>
  <si>
    <t>University of St. Thomas</t>
  </si>
  <si>
    <t>DePaul University</t>
  </si>
  <si>
    <t>Duquesne University</t>
  </si>
  <si>
    <t>University of Arizona</t>
  </si>
  <si>
    <t>Arizona State University--Tempe</t>
  </si>
  <si>
    <t>Colorado State University</t>
  </si>
  <si>
    <t>New School</t>
  </si>
  <si>
    <t>Hofstra University</t>
  </si>
  <si>
    <t>University of Kentucky</t>
  </si>
  <si>
    <t>Kansas State University</t>
  </si>
  <si>
    <t>Louisiana State University--Baton Rouge</t>
  </si>
  <si>
    <t>New Jersey Institute of Technology</t>
  </si>
  <si>
    <t>University of Arkansas</t>
  </si>
  <si>
    <t>University of Cincinnati</t>
  </si>
  <si>
    <t>University of Mississippi</t>
  </si>
  <si>
    <t>George Mason University</t>
  </si>
  <si>
    <t>Oregon State University</t>
  </si>
  <si>
    <t>Washington State University</t>
  </si>
  <si>
    <t>Ohio University</t>
  </si>
  <si>
    <t>San Diego State University</t>
  </si>
  <si>
    <t>University at Albany--SUNY</t>
  </si>
  <si>
    <t>University of Texas--Dallas</t>
  </si>
  <si>
    <t>Illinois State University</t>
  </si>
  <si>
    <t>Oklahoma State University</t>
  </si>
  <si>
    <t>University of California--Merced</t>
  </si>
  <si>
    <t>University of Massachusetts--Lowell</t>
  </si>
  <si>
    <t>University of Maryland--Baltimore County</t>
  </si>
  <si>
    <t>University of Rhode Island</t>
  </si>
  <si>
    <t>University of South Florida</t>
  </si>
  <si>
    <t>Missouri University of Science &amp; Technology</t>
  </si>
  <si>
    <t>St. John's University</t>
  </si>
  <si>
    <t>Virginia Commonwealth University</t>
  </si>
  <si>
    <t>University of Hawaii--Manoa</t>
  </si>
  <si>
    <t>University of Idaho</t>
  </si>
  <si>
    <t>University of Louisville</t>
  </si>
  <si>
    <t>University of Wyoming</t>
  </si>
  <si>
    <t>Ball State University</t>
  </si>
  <si>
    <t>Mississippi State University</t>
  </si>
  <si>
    <t>Montclair State University</t>
  </si>
  <si>
    <t>Texas Tech University</t>
  </si>
  <si>
    <t>University of Central Florida</t>
  </si>
  <si>
    <t>University of New Mexico</t>
  </si>
  <si>
    <t>Azusa Pacific University</t>
  </si>
  <si>
    <t>University of Maine</t>
  </si>
  <si>
    <t>West Virginia University</t>
  </si>
  <si>
    <t>Kent State University</t>
  </si>
  <si>
    <t>North Dakota State University</t>
  </si>
  <si>
    <t>Pace University</t>
  </si>
  <si>
    <t>University of Hartford</t>
  </si>
  <si>
    <t>Bowling Green State University</t>
  </si>
  <si>
    <t>University of Houston</t>
  </si>
  <si>
    <t>Western Michigan University</t>
  </si>
  <si>
    <t>Indiana University-Purdue University--Indianapolis</t>
  </si>
  <si>
    <t>University of Colorado--Denver</t>
  </si>
  <si>
    <t>University of Nevada--Reno</t>
  </si>
  <si>
    <t>California State University--Fullerton</t>
  </si>
  <si>
    <t>Central Michigan University</t>
  </si>
  <si>
    <t>Louisiana Tech University</t>
  </si>
  <si>
    <t>University of Alaska--Fairbanks</t>
  </si>
  <si>
    <t>University of North Carolina--Charlotte</t>
  </si>
  <si>
    <t>University of North Dakota</t>
  </si>
  <si>
    <t>East Carolina University</t>
  </si>
  <si>
    <t>Montana State University</t>
  </si>
  <si>
    <t>Old Dominion University</t>
  </si>
  <si>
    <t>University of Missouri--Kansas City</t>
  </si>
  <si>
    <t>Northern Illinois University</t>
  </si>
  <si>
    <t>Southern Illinois University--Carbondale</t>
  </si>
  <si>
    <t>University of Montana</t>
  </si>
  <si>
    <t>California State University--Fresno</t>
  </si>
  <si>
    <t>New Mexico State University</t>
  </si>
  <si>
    <t>Tennessee Technological University</t>
  </si>
  <si>
    <t>University of Massachusetts--Boston</t>
  </si>
  <si>
    <t>University of Massachusetts--Dartmouth</t>
  </si>
  <si>
    <t>University of Missouri--St. Louis</t>
  </si>
  <si>
    <t>University of North Carolina--Greensboro</t>
  </si>
  <si>
    <t>University of Southern Mississippi</t>
  </si>
  <si>
    <t>Utah State University</t>
  </si>
  <si>
    <t>In-state Tuition</t>
  </si>
  <si>
    <t>Average Sentiment Value (-5 to 5)</t>
  </si>
  <si>
    <t>Positive post num</t>
  </si>
  <si>
    <t>Negative post num</t>
  </si>
  <si>
    <t>Total Post</t>
  </si>
  <si>
    <t>Positive post %</t>
  </si>
  <si>
    <t>Negative post %</t>
  </si>
  <si>
    <t>Florida International University</t>
  </si>
  <si>
    <t>Positive Negative Ratio</t>
  </si>
  <si>
    <t>Public</t>
  </si>
  <si>
    <t>Private</t>
  </si>
  <si>
    <t>Private vs Public</t>
  </si>
  <si>
    <t>St. Paul</t>
  </si>
  <si>
    <t xml:space="preserve"> MN</t>
  </si>
  <si>
    <t>Seattle</t>
  </si>
  <si>
    <t xml:space="preserve"> WA</t>
  </si>
  <si>
    <t>University</t>
  </si>
  <si>
    <t xml:space="preserve"> MS</t>
  </si>
  <si>
    <t>West Hartford</t>
  </si>
  <si>
    <t xml:space="preserve"> CT</t>
  </si>
  <si>
    <t>Irvine</t>
  </si>
  <si>
    <t xml:space="preserve"> CA</t>
  </si>
  <si>
    <t>Stony Brook</t>
  </si>
  <si>
    <t xml:space="preserve"> NY</t>
  </si>
  <si>
    <t>Columbia</t>
  </si>
  <si>
    <t xml:space="preserve"> SC</t>
  </si>
  <si>
    <t>Piscataway</t>
  </si>
  <si>
    <t xml:space="preserve"> NJ</t>
  </si>
  <si>
    <t>Newark</t>
  </si>
  <si>
    <t>College Park</t>
  </si>
  <si>
    <t xml:space="preserve"> MD</t>
  </si>
  <si>
    <t>Richardson</t>
  </si>
  <si>
    <t xml:space="preserve"> TX</t>
  </si>
  <si>
    <t>Buffalo</t>
  </si>
  <si>
    <t>Reno</t>
  </si>
  <si>
    <t xml:space="preserve"> NV</t>
  </si>
  <si>
    <t>Hempstead</t>
  </si>
  <si>
    <t>Champaign</t>
  </si>
  <si>
    <t xml:space="preserve"> IL</t>
  </si>
  <si>
    <t>Riverside</t>
  </si>
  <si>
    <t>Missoula</t>
  </si>
  <si>
    <t xml:space="preserve"> MT</t>
  </si>
  <si>
    <t>Montclair</t>
  </si>
  <si>
    <t>Storrs</t>
  </si>
  <si>
    <t>Houston</t>
  </si>
  <si>
    <t>Rochester</t>
  </si>
  <si>
    <t>Medford</t>
  </si>
  <si>
    <t xml:space="preserve"> MA</t>
  </si>
  <si>
    <t>Atlanta</t>
  </si>
  <si>
    <t xml:space="preserve"> GA</t>
  </si>
  <si>
    <t>Amherst</t>
  </si>
  <si>
    <t>Ames</t>
  </si>
  <si>
    <t xml:space="preserve"> IA</t>
  </si>
  <si>
    <t>New Orleans</t>
  </si>
  <si>
    <t xml:space="preserve"> LA</t>
  </si>
  <si>
    <t>Lowell</t>
  </si>
  <si>
    <t>Raleigh</t>
  </si>
  <si>
    <t xml:space="preserve"> NC</t>
  </si>
  <si>
    <t>Rolla</t>
  </si>
  <si>
    <t xml:space="preserve"> MO</t>
  </si>
  <si>
    <t>West Lafayette</t>
  </si>
  <si>
    <t xml:space="preserve"> IN</t>
  </si>
  <si>
    <t>New York</t>
  </si>
  <si>
    <t>Fairfax</t>
  </si>
  <si>
    <t xml:space="preserve"> VA</t>
  </si>
  <si>
    <t>Malibu</t>
  </si>
  <si>
    <t>Baltimore</t>
  </si>
  <si>
    <t>East Lansing</t>
  </si>
  <si>
    <t xml:space="preserve"> MI</t>
  </si>
  <si>
    <t>Boston</t>
  </si>
  <si>
    <t>Troy</t>
  </si>
  <si>
    <t>Durham</t>
  </si>
  <si>
    <t xml:space="preserve"> NH</t>
  </si>
  <si>
    <t>Fairbanks</t>
  </si>
  <si>
    <t xml:space="preserve"> AK</t>
  </si>
  <si>
    <t>Philadelphia</t>
  </si>
  <si>
    <t xml:space="preserve"> PA</t>
  </si>
  <si>
    <t>Auburn</t>
  </si>
  <si>
    <t xml:space="preserve"> AL</t>
  </si>
  <si>
    <t>Santa Barbara</t>
  </si>
  <si>
    <t>Albany</t>
  </si>
  <si>
    <t>Bethlehem</t>
  </si>
  <si>
    <t>Pittsburgh</t>
  </si>
  <si>
    <t>Orlando</t>
  </si>
  <si>
    <t xml:space="preserve"> FL</t>
  </si>
  <si>
    <t>Charlotte</t>
  </si>
  <si>
    <t>Ithaca</t>
  </si>
  <si>
    <t xml:space="preserve"> DE</t>
  </si>
  <si>
    <t>Knoxville</t>
  </si>
  <si>
    <t xml:space="preserve"> TN</t>
  </si>
  <si>
    <t>Baton Rouge</t>
  </si>
  <si>
    <t>Lubbock</t>
  </si>
  <si>
    <t>Blacksburg</t>
  </si>
  <si>
    <t>Fayetteville</t>
  </si>
  <si>
    <t xml:space="preserve"> AR</t>
  </si>
  <si>
    <t>Lincoln</t>
  </si>
  <si>
    <t xml:space="preserve"> NE</t>
  </si>
  <si>
    <t>Muncie</t>
  </si>
  <si>
    <t>Mississippi State</t>
  </si>
  <si>
    <t>Minneapolis</t>
  </si>
  <si>
    <t>Athens</t>
  </si>
  <si>
    <t>Tampa</t>
  </si>
  <si>
    <t>Merced</t>
  </si>
  <si>
    <t>Lawrence</t>
  </si>
  <si>
    <t xml:space="preserve"> KS</t>
  </si>
  <si>
    <t>Boulder</t>
  </si>
  <si>
    <t xml:space="preserve"> CO</t>
  </si>
  <si>
    <t>Oxford</t>
  </si>
  <si>
    <t xml:space="preserve"> OH</t>
  </si>
  <si>
    <t>Dayton</t>
  </si>
  <si>
    <t>Honolulu</t>
  </si>
  <si>
    <t xml:space="preserve"> HI</t>
  </si>
  <si>
    <t>Santa Cruz</t>
  </si>
  <si>
    <t>Binghamton</t>
  </si>
  <si>
    <t>Laramie</t>
  </si>
  <si>
    <t xml:space="preserve"> WY</t>
  </si>
  <si>
    <t>Milwaukee</t>
  </si>
  <si>
    <t xml:space="preserve"> WI</t>
  </si>
  <si>
    <t>Stillwater</t>
  </si>
  <si>
    <t xml:space="preserve"> OK</t>
  </si>
  <si>
    <t>Tuscaloosa</t>
  </si>
  <si>
    <t>San Diego</t>
  </si>
  <si>
    <t>Louisville</t>
  </si>
  <si>
    <t xml:space="preserve"> KY</t>
  </si>
  <si>
    <t>Cambridge</t>
  </si>
  <si>
    <t>Eugene</t>
  </si>
  <si>
    <t xml:space="preserve"> OR</t>
  </si>
  <si>
    <t>Iowa City</t>
  </si>
  <si>
    <t>Clemson</t>
  </si>
  <si>
    <t>Richmond</t>
  </si>
  <si>
    <t>Moscow</t>
  </si>
  <si>
    <t xml:space="preserve"> ID</t>
  </si>
  <si>
    <t>Morgantown</t>
  </si>
  <si>
    <t xml:space="preserve"> WV</t>
  </si>
  <si>
    <t>Kingston</t>
  </si>
  <si>
    <t xml:space="preserve"> RI</t>
  </si>
  <si>
    <t>Houghton</t>
  </si>
  <si>
    <t>New Haven</t>
  </si>
  <si>
    <t>Cincinnati</t>
  </si>
  <si>
    <t>Washington</t>
  </si>
  <si>
    <t xml:space="preserve"> DC</t>
  </si>
  <si>
    <t>Princeton</t>
  </si>
  <si>
    <t>Ann Arbor</t>
  </si>
  <si>
    <t>Kent</t>
  </si>
  <si>
    <t>Waco</t>
  </si>
  <si>
    <t>St. Louis</t>
  </si>
  <si>
    <t>Queens</t>
  </si>
  <si>
    <t>Normal</t>
  </si>
  <si>
    <t>Albuquerque</t>
  </si>
  <si>
    <t xml:space="preserve"> NM</t>
  </si>
  <si>
    <t>Indianapolis</t>
  </si>
  <si>
    <t>Denver</t>
  </si>
  <si>
    <t>Orono</t>
  </si>
  <si>
    <t xml:space="preserve"> ME</t>
  </si>
  <si>
    <t>Bowling Green</t>
  </si>
  <si>
    <t>Tallahassee</t>
  </si>
  <si>
    <t>Manhattan</t>
  </si>
  <si>
    <t>Chestnut Hill</t>
  </si>
  <si>
    <t>Los Angeles</t>
  </si>
  <si>
    <t>Pullman</t>
  </si>
  <si>
    <t>Kalamazoo</t>
  </si>
  <si>
    <t>Providence</t>
  </si>
  <si>
    <t>South Orange</t>
  </si>
  <si>
    <t>Dallas</t>
  </si>
  <si>
    <t>Tucson</t>
  </si>
  <si>
    <t xml:space="preserve"> AZ</t>
  </si>
  <si>
    <t>Evanston</t>
  </si>
  <si>
    <t>Salt Lake City</t>
  </si>
  <si>
    <t xml:space="preserve"> UT</t>
  </si>
  <si>
    <t>Azusa</t>
  </si>
  <si>
    <t>Fullerton</t>
  </si>
  <si>
    <t>Stanford</t>
  </si>
  <si>
    <t>Cleveland</t>
  </si>
  <si>
    <t>Chicago</t>
  </si>
  <si>
    <t>Fort Worth</t>
  </si>
  <si>
    <t>Corvallis</t>
  </si>
  <si>
    <t>Syracuse</t>
  </si>
  <si>
    <t>Hanover</t>
  </si>
  <si>
    <t>Huntsville</t>
  </si>
  <si>
    <t>San Francisco</t>
  </si>
  <si>
    <t>Burlington</t>
  </si>
  <si>
    <t xml:space="preserve"> VT</t>
  </si>
  <si>
    <t>Fargo</t>
  </si>
  <si>
    <t xml:space="preserve"> ND</t>
  </si>
  <si>
    <t>Notre Dame</t>
  </si>
  <si>
    <t>Nashville</t>
  </si>
  <si>
    <t>Berkeley</t>
  </si>
  <si>
    <t>Charlottesville</t>
  </si>
  <si>
    <t>Chapel Hill</t>
  </si>
  <si>
    <t>Williamsburg</t>
  </si>
  <si>
    <t>La Jolla</t>
  </si>
  <si>
    <t>Davis</t>
  </si>
  <si>
    <t>Madison</t>
  </si>
  <si>
    <t>Coral Gables</t>
  </si>
  <si>
    <t>Villanova</t>
  </si>
  <si>
    <t>University Park</t>
  </si>
  <si>
    <t>Columbus</t>
  </si>
  <si>
    <t>Austin</t>
  </si>
  <si>
    <t>College Station</t>
  </si>
  <si>
    <t>Bloomington</t>
  </si>
  <si>
    <t>Norman</t>
  </si>
  <si>
    <t>Fort Collins</t>
  </si>
  <si>
    <t>Tempe</t>
  </si>
  <si>
    <t>Lexington</t>
  </si>
  <si>
    <t>Mount Pleasant</t>
  </si>
  <si>
    <t>Brookings</t>
  </si>
  <si>
    <t xml:space="preserve"> SD</t>
  </si>
  <si>
    <t>Bozeman</t>
  </si>
  <si>
    <t>Norfolk</t>
  </si>
  <si>
    <t>Greenville</t>
  </si>
  <si>
    <t>Vermillion</t>
  </si>
  <si>
    <t>Ft. Lauderdale</t>
  </si>
  <si>
    <t>Carbondale</t>
  </si>
  <si>
    <t>Cookeville</t>
  </si>
  <si>
    <t>North Dartmouth</t>
  </si>
  <si>
    <t>Hattiesburg</t>
  </si>
  <si>
    <t>Logan</t>
  </si>
  <si>
    <t>Greensboro</t>
  </si>
  <si>
    <t>Las Cruces</t>
  </si>
  <si>
    <t>Fresno</t>
  </si>
  <si>
    <t>City</t>
  </si>
  <si>
    <t>State</t>
  </si>
  <si>
    <t>Neutral Post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</si>
</sst>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$&quot;#,##0_);[Red]\(&quot;$&quot;#,##0\)"/>
    <numFmt numFmtId="164" formatCode="0.00000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7">
    <xf numFmtId="0" fontId="0" fillId="0" borderId="0" xfId="0"/>
    <xf numFmtId="6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0" fontId="0" fillId="33" borderId="0" xfId="0" applyFill="1"/>
    <xf numFmtId="0" fontId="0" fillId="35" borderId="0" xfId="0" applyFill="1"/>
    <xf numFmtId="0" fontId="0" fillId="36" borderId="0" xfId="0" applyFill="1"/>
    <xf numFmtId="0" fontId="18" fillId="0" borderId="10" xfId="0" applyFont="1" applyBorder="1" applyAlignment="1"/>
    <xf numFmtId="0" fontId="18" fillId="0" borderId="10" xfId="0" applyFont="1" applyFill="1" applyBorder="1" applyAlignment="1"/>
    <xf numFmtId="164" fontId="0" fillId="0" borderId="0" xfId="0" applyNumberFormat="1" applyAlignment="1">
      <alignment wrapText="1"/>
    </xf>
    <xf numFmtId="164" fontId="0" fillId="0" borderId="0" xfId="0" applyNumberFormat="1"/>
    <xf numFmtId="10" fontId="0" fillId="0" borderId="0" xfId="0" applyNumberFormat="1" applyAlignment="1">
      <alignment wrapText="1"/>
    </xf>
    <xf numFmtId="10" fontId="0" fillId="0" borderId="0" xfId="0" applyNumberFormat="1"/>
    <xf numFmtId="1" fontId="0" fillId="0" borderId="0" xfId="0" applyNumberFormat="1" applyAlignment="1">
      <alignment wrapText="1"/>
    </xf>
    <xf numFmtId="1" fontId="0" fillId="0" borderId="0" xfId="0" applyNumberFormat="1"/>
    <xf numFmtId="0" fontId="0" fillId="0" borderId="0" xfId="0" applyAlignment="1"/>
    <xf numFmtId="0" fontId="0" fillId="34" borderId="0" xfId="0" applyFill="1" applyAlignme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FB25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7.xml"/><Relationship Id="rId13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externalLink" Target="externalLinks/externalLink6.xml"/><Relationship Id="rId12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5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4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3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b/Documents/Data%20Sci/2nd%20list/Another%205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b/Documents/Data%20Sci/First2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Copy%20of%20Lastlist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ab/Documents/Data%20Sci/2nd%20list/Next50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ug54351/Desktop/Last%2020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IvyLeague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longLi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zusa Pacific"/>
      <sheetName val="U of Louisville"/>
      <sheetName val="Ohio University"/>
      <sheetName val="Central Michigan"/>
      <sheetName val="Bowling Green State University"/>
      <sheetName val="Ball State University "/>
      <sheetName val="CSU Fullerton"/>
      <sheetName val="CU Denver"/>
      <sheetName val="George Mason University"/>
      <sheetName val="Illinois State University"/>
      <sheetName val="Indiana University- purdue Uni"/>
      <sheetName val="KentStateUniversity"/>
      <sheetName val="KState"/>
      <sheetName val="Montclair State University"/>
      <sheetName val="Mississippi State University"/>
      <sheetName val="NJTech"/>
      <sheetName val="NDSU"/>
      <sheetName val="OKState"/>
      <sheetName val="Sheet20"/>
      <sheetName val="OregonStateUniv"/>
      <sheetName val="Pace University"/>
      <sheetName val=" Missouri University of Science"/>
      <sheetName val="RutgersNewark"/>
      <sheetName val="Sheet25"/>
      <sheetName val="STJOHNS"/>
      <sheetName val="Sheet27"/>
      <sheetName val="UofAlabama Bringham"/>
      <sheetName val="UArk"/>
      <sheetName val="UAlbany"/>
      <sheetName val="UCMerced"/>
      <sheetName val="uhart"/>
      <sheetName val="uichicago"/>
      <sheetName val="Sheet34"/>
      <sheetName val="UMBC"/>
      <sheetName val="UofMass"/>
      <sheetName val="UNCCharlotte"/>
      <sheetName val="University of North Dakota"/>
      <sheetName val="UniversityOfHouston"/>
      <sheetName val="University of Nevada"/>
      <sheetName val="UofNew Mexico"/>
      <sheetName val="UofRohdIsland"/>
      <sheetName val="University of Idaho"/>
      <sheetName val="University of South Florida"/>
      <sheetName val="utdallas"/>
      <sheetName val="UWymong"/>
      <sheetName val="VCU"/>
      <sheetName val="WMU"/>
      <sheetName val="WSU"/>
      <sheetName val="West Virginia University"/>
      <sheetName val="Sheet1"/>
    </sheetNames>
    <sheetDataSet>
      <sheetData sheetId="0">
        <row r="2">
          <cell r="D2">
            <v>0.62393442622950823</v>
          </cell>
          <cell r="E2">
            <v>27</v>
          </cell>
          <cell r="F2">
            <v>5</v>
          </cell>
          <cell r="G2">
            <v>61</v>
          </cell>
          <cell r="H2">
            <v>0.44262295081967212</v>
          </cell>
          <cell r="I2">
            <v>8.1967213114754092E-2</v>
          </cell>
          <cell r="J2">
            <v>0.47540983606557374</v>
          </cell>
        </row>
      </sheetData>
      <sheetData sheetId="1">
        <row r="2">
          <cell r="D2">
            <v>0.51631205673758873</v>
          </cell>
          <cell r="E2">
            <v>585</v>
          </cell>
          <cell r="F2">
            <v>241</v>
          </cell>
          <cell r="G2">
            <v>1410</v>
          </cell>
          <cell r="H2">
            <v>0.41489361702127658</v>
          </cell>
          <cell r="I2">
            <v>0.17092198581560283</v>
          </cell>
          <cell r="J2">
            <v>0.41418439716312061</v>
          </cell>
        </row>
      </sheetData>
      <sheetData sheetId="2">
        <row r="2">
          <cell r="D2">
            <v>0.59741326137239781</v>
          </cell>
          <cell r="E2">
            <v>1164</v>
          </cell>
          <cell r="F2">
            <v>379</v>
          </cell>
          <cell r="G2">
            <v>2594</v>
          </cell>
          <cell r="H2">
            <v>0.44872783346183498</v>
          </cell>
          <cell r="I2">
            <v>0.14610639938319198</v>
          </cell>
          <cell r="J2">
            <v>0.4051657671549731</v>
          </cell>
        </row>
      </sheetData>
      <sheetData sheetId="3">
        <row r="2">
          <cell r="D2">
            <v>0.63094707520891269</v>
          </cell>
          <cell r="E2">
            <v>1358</v>
          </cell>
          <cell r="F2">
            <v>412</v>
          </cell>
          <cell r="G2">
            <v>2872</v>
          </cell>
          <cell r="H2">
            <v>0.47284122562674097</v>
          </cell>
          <cell r="I2">
            <v>0.14345403899721448</v>
          </cell>
          <cell r="J2">
            <v>0.38370473537604455</v>
          </cell>
        </row>
      </sheetData>
      <sheetData sheetId="4">
        <row r="2">
          <cell r="D2">
            <v>0.58091230551626583</v>
          </cell>
          <cell r="E2">
            <v>637</v>
          </cell>
          <cell r="F2">
            <v>194</v>
          </cell>
          <cell r="G2">
            <v>1414</v>
          </cell>
          <cell r="H2">
            <v>0.45049504950495051</v>
          </cell>
          <cell r="I2">
            <v>0.13719943422913719</v>
          </cell>
          <cell r="J2">
            <v>0.41230551626591228</v>
          </cell>
        </row>
      </sheetData>
      <sheetData sheetId="5">
        <row r="2">
          <cell r="D2">
            <v>0.46147392290249406</v>
          </cell>
          <cell r="E2">
            <v>195</v>
          </cell>
          <cell r="F2">
            <v>62</v>
          </cell>
          <cell r="G2">
            <v>441</v>
          </cell>
          <cell r="H2">
            <v>0.44217687074829931</v>
          </cell>
          <cell r="I2">
            <v>0.14058956916099774</v>
          </cell>
          <cell r="J2">
            <v>0.41723356009070289</v>
          </cell>
        </row>
      </sheetData>
      <sheetData sheetId="6">
        <row r="2">
          <cell r="D2">
            <v>0.34894281914893605</v>
          </cell>
          <cell r="E2">
            <v>574</v>
          </cell>
          <cell r="F2">
            <v>244</v>
          </cell>
          <cell r="G2">
            <v>1504</v>
          </cell>
          <cell r="H2">
            <v>0.38164893617021278</v>
          </cell>
          <cell r="I2">
            <v>0.16223404255319149</v>
          </cell>
          <cell r="J2">
            <v>0.4561170212765957</v>
          </cell>
        </row>
      </sheetData>
      <sheetData sheetId="7">
        <row r="2">
          <cell r="D2">
            <v>0.70191082802547755</v>
          </cell>
          <cell r="E2">
            <v>77</v>
          </cell>
          <cell r="F2">
            <v>16</v>
          </cell>
          <cell r="G2">
            <v>157</v>
          </cell>
          <cell r="H2">
            <v>0.49044585987261147</v>
          </cell>
          <cell r="I2">
            <v>0.10191082802547771</v>
          </cell>
          <cell r="J2">
            <v>0.40764331210191085</v>
          </cell>
        </row>
      </sheetData>
      <sheetData sheetId="8">
        <row r="2">
          <cell r="D2">
            <v>0.41214518147684603</v>
          </cell>
          <cell r="E2">
            <v>1648</v>
          </cell>
          <cell r="F2">
            <v>685</v>
          </cell>
          <cell r="G2">
            <v>3995</v>
          </cell>
          <cell r="H2">
            <v>0.41251564455569462</v>
          </cell>
          <cell r="I2">
            <v>0.17146433041301626</v>
          </cell>
          <cell r="J2">
            <v>0.4160200250312891</v>
          </cell>
        </row>
      </sheetData>
      <sheetData sheetId="9">
        <row r="2">
          <cell r="D2">
            <v>0.56916987740805647</v>
          </cell>
          <cell r="E2">
            <v>1274</v>
          </cell>
          <cell r="F2">
            <v>400</v>
          </cell>
          <cell r="G2">
            <v>2855</v>
          </cell>
          <cell r="H2">
            <v>0.44623467600700523</v>
          </cell>
          <cell r="I2">
            <v>0.14010507880910683</v>
          </cell>
          <cell r="J2">
            <v>0.413660245183888</v>
          </cell>
        </row>
      </sheetData>
      <sheetData sheetId="10">
        <row r="2">
          <cell r="D2">
            <v>0.57385344283006956</v>
          </cell>
          <cell r="E2">
            <v>713</v>
          </cell>
          <cell r="F2">
            <v>193</v>
          </cell>
          <cell r="G2">
            <v>1583</v>
          </cell>
          <cell r="H2">
            <v>0.4504106127605812</v>
          </cell>
          <cell r="I2">
            <v>0.12192040429564119</v>
          </cell>
          <cell r="J2">
            <v>0.42766898294377764</v>
          </cell>
        </row>
      </sheetData>
      <sheetData sheetId="11">
        <row r="2">
          <cell r="D2">
            <v>0.56346038114343022</v>
          </cell>
          <cell r="E2">
            <v>899</v>
          </cell>
          <cell r="F2">
            <v>301</v>
          </cell>
          <cell r="G2">
            <v>1994</v>
          </cell>
          <cell r="H2">
            <v>0.45085255767301907</v>
          </cell>
          <cell r="I2">
            <v>0.15095285857572718</v>
          </cell>
          <cell r="J2">
            <v>0.39819458375125372</v>
          </cell>
        </row>
      </sheetData>
      <sheetData sheetId="12">
        <row r="2">
          <cell r="D2">
            <v>0.58854955680902521</v>
          </cell>
          <cell r="E2">
            <v>587</v>
          </cell>
          <cell r="F2">
            <v>197</v>
          </cell>
          <cell r="G2">
            <v>1241</v>
          </cell>
          <cell r="H2">
            <v>0.47300564061240935</v>
          </cell>
          <cell r="I2">
            <v>0.15874294923448831</v>
          </cell>
          <cell r="J2">
            <v>0.36825141015310237</v>
          </cell>
        </row>
      </sheetData>
      <sheetData sheetId="13">
        <row r="2">
          <cell r="D2">
            <v>0.37045746962115811</v>
          </cell>
          <cell r="E2">
            <v>574</v>
          </cell>
          <cell r="F2">
            <v>258</v>
          </cell>
          <cell r="G2">
            <v>1399</v>
          </cell>
          <cell r="H2">
            <v>0.41029306647605435</v>
          </cell>
          <cell r="I2">
            <v>0.18441744102930666</v>
          </cell>
          <cell r="J2">
            <v>0.40528949249463897</v>
          </cell>
        </row>
      </sheetData>
      <sheetData sheetId="14">
        <row r="2">
          <cell r="D2">
            <v>0.46392897196261701</v>
          </cell>
          <cell r="E2">
            <v>1094</v>
          </cell>
          <cell r="F2">
            <v>463</v>
          </cell>
          <cell r="G2">
            <v>2675</v>
          </cell>
          <cell r="H2">
            <v>0.40897196261682245</v>
          </cell>
          <cell r="I2">
            <v>0.1730841121495327</v>
          </cell>
          <cell r="J2">
            <v>0.41794392523364488</v>
          </cell>
        </row>
      </sheetData>
      <sheetData sheetId="15">
        <row r="2">
          <cell r="D2">
            <v>0.31974472518885133</v>
          </cell>
          <cell r="E2">
            <v>1416</v>
          </cell>
          <cell r="F2">
            <v>771</v>
          </cell>
          <cell r="G2">
            <v>3839</v>
          </cell>
          <cell r="H2">
            <v>0.36884605365980722</v>
          </cell>
          <cell r="I2">
            <v>0.20083355040375098</v>
          </cell>
          <cell r="J2">
            <v>0.43032039593644178</v>
          </cell>
        </row>
      </sheetData>
      <sheetData sheetId="16">
        <row r="2">
          <cell r="D2">
            <v>0.76154891304347838</v>
          </cell>
          <cell r="E2">
            <v>171</v>
          </cell>
          <cell r="F2">
            <v>37</v>
          </cell>
          <cell r="G2">
            <v>368</v>
          </cell>
          <cell r="H2">
            <v>0.46467391304347827</v>
          </cell>
          <cell r="I2">
            <v>0.10054347826086957</v>
          </cell>
          <cell r="J2">
            <v>0.43478260869565211</v>
          </cell>
          <cell r="K2">
            <v>4.6216216216216219</v>
          </cell>
        </row>
      </sheetData>
      <sheetData sheetId="17">
        <row r="2">
          <cell r="D2">
            <v>0.50996026490066249</v>
          </cell>
          <cell r="E2">
            <v>661</v>
          </cell>
          <cell r="F2">
            <v>229</v>
          </cell>
          <cell r="G2">
            <v>1510</v>
          </cell>
          <cell r="H2">
            <v>0.43774834437086091</v>
          </cell>
          <cell r="I2">
            <v>0.15165562913907285</v>
          </cell>
          <cell r="J2">
            <v>0.41059602649006621</v>
          </cell>
        </row>
      </sheetData>
      <sheetData sheetId="18">
        <row r="2">
          <cell r="D2">
            <v>0.27217123670956944</v>
          </cell>
          <cell r="E2">
            <v>727</v>
          </cell>
          <cell r="F2">
            <v>462</v>
          </cell>
          <cell r="G2">
            <v>1787</v>
          </cell>
          <cell r="H2">
            <v>0.40682708449916061</v>
          </cell>
          <cell r="I2">
            <v>0.25853385562395076</v>
          </cell>
          <cell r="J2">
            <v>0.33463905987688869</v>
          </cell>
        </row>
      </sheetData>
      <sheetData sheetId="19">
        <row r="2">
          <cell r="D2">
            <v>0.64972570267524488</v>
          </cell>
          <cell r="E2">
            <v>1492</v>
          </cell>
          <cell r="F2">
            <v>410</v>
          </cell>
          <cell r="G2">
            <v>2953</v>
          </cell>
          <cell r="H2">
            <v>0.50524889942431428</v>
          </cell>
          <cell r="I2">
            <v>0.1388418557399255</v>
          </cell>
          <cell r="J2">
            <v>0.35590924483576025</v>
          </cell>
        </row>
      </sheetData>
      <sheetData sheetId="20">
        <row r="2">
          <cell r="D2">
            <v>0.40597785977859785</v>
          </cell>
          <cell r="E2">
            <v>95</v>
          </cell>
          <cell r="F2">
            <v>39</v>
          </cell>
          <cell r="G2">
            <v>271</v>
          </cell>
          <cell r="H2">
            <v>0.35055350553505538</v>
          </cell>
          <cell r="I2">
            <v>0.14391143911439114</v>
          </cell>
          <cell r="J2">
            <v>0.50553505535055354</v>
          </cell>
        </row>
      </sheetData>
      <sheetData sheetId="21">
        <row r="2">
          <cell r="D2">
            <v>0.40153820148749153</v>
          </cell>
          <cell r="E2">
            <v>1246</v>
          </cell>
          <cell r="F2">
            <v>520</v>
          </cell>
          <cell r="G2">
            <v>2958</v>
          </cell>
          <cell r="H2">
            <v>0.42123056118999325</v>
          </cell>
          <cell r="I2">
            <v>0.17579445571331981</v>
          </cell>
          <cell r="J2">
            <v>0.40297498309668689</v>
          </cell>
        </row>
      </sheetData>
      <sheetData sheetId="22"/>
      <sheetData sheetId="23">
        <row r="2">
          <cell r="D2">
            <v>0.60402892561983468</v>
          </cell>
          <cell r="E2">
            <v>231</v>
          </cell>
          <cell r="F2">
            <v>62</v>
          </cell>
          <cell r="G2">
            <v>484</v>
          </cell>
          <cell r="H2">
            <v>0.47727272727272729</v>
          </cell>
          <cell r="I2">
            <v>0.128099173553719</v>
          </cell>
          <cell r="J2">
            <v>0.39462809917355368</v>
          </cell>
        </row>
      </sheetData>
      <sheetData sheetId="24">
        <row r="2">
          <cell r="D2">
            <v>0.56816568047337279</v>
          </cell>
          <cell r="E2">
            <v>65</v>
          </cell>
          <cell r="F2">
            <v>15</v>
          </cell>
          <cell r="G2">
            <v>169</v>
          </cell>
          <cell r="H2">
            <v>0.38461538461538464</v>
          </cell>
          <cell r="I2">
            <v>8.8757396449704137E-2</v>
          </cell>
          <cell r="J2">
            <v>0.52662721893491127</v>
          </cell>
        </row>
      </sheetData>
      <sheetData sheetId="25">
        <row r="2">
          <cell r="D2">
            <v>0.45224586288416091</v>
          </cell>
          <cell r="E2">
            <v>350</v>
          </cell>
          <cell r="F2">
            <v>142</v>
          </cell>
          <cell r="G2">
            <v>846</v>
          </cell>
          <cell r="H2">
            <v>0.41371158392434987</v>
          </cell>
          <cell r="I2">
            <v>0.16784869976359337</v>
          </cell>
          <cell r="J2">
            <v>0.41843971631205679</v>
          </cell>
        </row>
      </sheetData>
      <sheetData sheetId="26"/>
      <sheetData sheetId="27">
        <row r="2">
          <cell r="D2">
            <v>0.45444881889763783</v>
          </cell>
          <cell r="E2">
            <v>97</v>
          </cell>
          <cell r="F2">
            <v>35</v>
          </cell>
          <cell r="G2">
            <v>254</v>
          </cell>
          <cell r="H2">
            <v>0.38188976377952755</v>
          </cell>
          <cell r="I2">
            <v>0.13779527559055119</v>
          </cell>
          <cell r="J2">
            <v>0.48031496062992129</v>
          </cell>
        </row>
      </sheetData>
      <sheetData sheetId="28">
        <row r="2">
          <cell r="D2">
            <v>0.42197168857431738</v>
          </cell>
          <cell r="E2">
            <v>399</v>
          </cell>
          <cell r="F2">
            <v>150</v>
          </cell>
          <cell r="G2">
            <v>989</v>
          </cell>
          <cell r="H2">
            <v>0.40343781597573308</v>
          </cell>
          <cell r="I2">
            <v>0.15166835187057634</v>
          </cell>
          <cell r="J2">
            <v>0.4448938321536906</v>
          </cell>
        </row>
      </sheetData>
      <sheetData sheetId="29">
        <row r="2">
          <cell r="D2">
            <v>0.49046431046431088</v>
          </cell>
          <cell r="E2">
            <v>624</v>
          </cell>
          <cell r="F2">
            <v>234</v>
          </cell>
          <cell r="G2">
            <v>1443</v>
          </cell>
          <cell r="H2">
            <v>0.43243243243243246</v>
          </cell>
          <cell r="I2">
            <v>0.16216216216216217</v>
          </cell>
          <cell r="J2">
            <v>0.40540540540540537</v>
          </cell>
        </row>
      </sheetData>
      <sheetData sheetId="30">
        <row r="2">
          <cell r="D2">
            <v>0.28244999999999992</v>
          </cell>
          <cell r="E2">
            <v>75</v>
          </cell>
          <cell r="F2">
            <v>34</v>
          </cell>
          <cell r="G2">
            <v>200</v>
          </cell>
          <cell r="H2">
            <v>0.375</v>
          </cell>
          <cell r="I2">
            <v>0.17</v>
          </cell>
          <cell r="J2">
            <v>0.45499999999999996</v>
          </cell>
        </row>
      </sheetData>
      <sheetData sheetId="31"/>
      <sheetData sheetId="32">
        <row r="2">
          <cell r="D2">
            <v>0.57984293193717273</v>
          </cell>
          <cell r="E2">
            <v>88</v>
          </cell>
          <cell r="F2">
            <v>23</v>
          </cell>
          <cell r="G2">
            <v>191</v>
          </cell>
          <cell r="H2">
            <v>0.4607329842931937</v>
          </cell>
          <cell r="I2">
            <v>0.12041884816753927</v>
          </cell>
          <cell r="J2">
            <v>0.41884816753926701</v>
          </cell>
        </row>
      </sheetData>
      <sheetData sheetId="33">
        <row r="2">
          <cell r="D2">
            <v>0.41626107977437582</v>
          </cell>
          <cell r="E2">
            <v>504</v>
          </cell>
          <cell r="F2">
            <v>200</v>
          </cell>
          <cell r="G2">
            <v>1241</v>
          </cell>
          <cell r="H2">
            <v>0.40612409347300565</v>
          </cell>
          <cell r="I2">
            <v>0.16116035455278002</v>
          </cell>
          <cell r="J2">
            <v>0.4327155519742143</v>
          </cell>
        </row>
      </sheetData>
      <sheetData sheetId="34">
        <row r="2">
          <cell r="D2">
            <v>0.38813137755102028</v>
          </cell>
          <cell r="E2">
            <v>618</v>
          </cell>
          <cell r="F2">
            <v>253</v>
          </cell>
          <cell r="G2">
            <v>1568</v>
          </cell>
          <cell r="H2">
            <v>0.39413265306122447</v>
          </cell>
          <cell r="I2">
            <v>0.16135204081632654</v>
          </cell>
          <cell r="J2">
            <v>0.44451530612244894</v>
          </cell>
        </row>
      </sheetData>
      <sheetData sheetId="35">
        <row r="2">
          <cell r="D2">
            <v>0.41978378378378373</v>
          </cell>
          <cell r="E2">
            <v>1092</v>
          </cell>
          <cell r="F2">
            <v>473</v>
          </cell>
          <cell r="G2">
            <v>2590</v>
          </cell>
          <cell r="H2">
            <v>0.42162162162162165</v>
          </cell>
          <cell r="I2">
            <v>0.18262548262548262</v>
          </cell>
          <cell r="J2">
            <v>0.39575289575289574</v>
          </cell>
        </row>
      </sheetData>
      <sheetData sheetId="36">
        <row r="2">
          <cell r="D2">
            <v>0.442639751552795</v>
          </cell>
          <cell r="E2">
            <v>402</v>
          </cell>
          <cell r="F2">
            <v>169</v>
          </cell>
          <cell r="G2">
            <v>966</v>
          </cell>
          <cell r="H2">
            <v>0.41614906832298137</v>
          </cell>
          <cell r="I2">
            <v>0.17494824016563146</v>
          </cell>
          <cell r="J2">
            <v>0.40890269151138714</v>
          </cell>
        </row>
      </sheetData>
      <sheetData sheetId="37">
        <row r="2">
          <cell r="D2">
            <v>0.37356154406409314</v>
          </cell>
          <cell r="E2">
            <v>531</v>
          </cell>
          <cell r="F2">
            <v>226</v>
          </cell>
          <cell r="G2">
            <v>1373</v>
          </cell>
          <cell r="H2">
            <v>0.38674435542607427</v>
          </cell>
          <cell r="I2">
            <v>0.16460305899490169</v>
          </cell>
          <cell r="J2">
            <v>0.44865258557902399</v>
          </cell>
        </row>
      </sheetData>
      <sheetData sheetId="38">
        <row r="2">
          <cell r="D2">
            <v>0.57554192229038881</v>
          </cell>
          <cell r="E2">
            <v>452</v>
          </cell>
          <cell r="F2">
            <v>138</v>
          </cell>
          <cell r="G2">
            <v>978</v>
          </cell>
          <cell r="H2">
            <v>0.46216768916155421</v>
          </cell>
          <cell r="I2">
            <v>0.1411042944785276</v>
          </cell>
          <cell r="J2">
            <v>0.39672801635991817</v>
          </cell>
        </row>
      </sheetData>
      <sheetData sheetId="39">
        <row r="2">
          <cell r="D2">
            <v>0.57076212471131593</v>
          </cell>
          <cell r="E2">
            <v>400</v>
          </cell>
          <cell r="F2">
            <v>116</v>
          </cell>
          <cell r="G2">
            <v>866</v>
          </cell>
          <cell r="H2">
            <v>0.46189376443418012</v>
          </cell>
          <cell r="I2">
            <v>0.13394919168591224</v>
          </cell>
          <cell r="J2">
            <v>0.40415704387990758</v>
          </cell>
        </row>
      </sheetData>
      <sheetData sheetId="40">
        <row r="2">
          <cell r="D2">
            <v>0.53461538461538471</v>
          </cell>
          <cell r="E2">
            <v>58</v>
          </cell>
          <cell r="F2">
            <v>14</v>
          </cell>
          <cell r="G2">
            <v>143</v>
          </cell>
          <cell r="H2">
            <v>0.40559440559440557</v>
          </cell>
          <cell r="I2">
            <v>9.7902097902097904E-2</v>
          </cell>
          <cell r="J2">
            <v>0.49650349650349657</v>
          </cell>
        </row>
      </sheetData>
      <sheetData sheetId="41">
        <row r="2">
          <cell r="D2">
            <v>0.52443037974683526</v>
          </cell>
          <cell r="E2">
            <v>483</v>
          </cell>
          <cell r="F2">
            <v>184</v>
          </cell>
          <cell r="G2">
            <v>1106</v>
          </cell>
          <cell r="H2">
            <v>0.43670886075949367</v>
          </cell>
          <cell r="I2">
            <v>0.16636528028933092</v>
          </cell>
          <cell r="J2">
            <v>0.39692585895117538</v>
          </cell>
        </row>
      </sheetData>
      <sheetData sheetId="42">
        <row r="2">
          <cell r="D2">
            <v>0.48823289070480064</v>
          </cell>
          <cell r="E2">
            <v>404</v>
          </cell>
          <cell r="F2">
            <v>144</v>
          </cell>
          <cell r="G2">
            <v>979</v>
          </cell>
          <cell r="H2">
            <v>0.41266598569969354</v>
          </cell>
          <cell r="I2">
            <v>0.14708886618998979</v>
          </cell>
          <cell r="J2">
            <v>0.44024514811031668</v>
          </cell>
        </row>
      </sheetData>
      <sheetData sheetId="43">
        <row r="2">
          <cell r="D2">
            <v>0.34108801108801107</v>
          </cell>
          <cell r="E2">
            <v>578</v>
          </cell>
          <cell r="F2">
            <v>265</v>
          </cell>
          <cell r="G2">
            <v>1443</v>
          </cell>
          <cell r="H2">
            <v>0.40055440055440056</v>
          </cell>
          <cell r="I2">
            <v>0.18364518364518365</v>
          </cell>
          <cell r="J2">
            <v>0.41580041580041582</v>
          </cell>
        </row>
      </sheetData>
      <sheetData sheetId="44">
        <row r="2">
          <cell r="D2">
            <v>0.50806842480399128</v>
          </cell>
          <cell r="E2">
            <v>610</v>
          </cell>
          <cell r="F2">
            <v>244</v>
          </cell>
          <cell r="G2">
            <v>1403</v>
          </cell>
          <cell r="H2">
            <v>0.43478260869565216</v>
          </cell>
          <cell r="I2">
            <v>0.17391304347826086</v>
          </cell>
          <cell r="J2">
            <v>0.39130434782608692</v>
          </cell>
        </row>
      </sheetData>
      <sheetData sheetId="45">
        <row r="2">
          <cell r="D2">
            <v>0.52359298928919207</v>
          </cell>
          <cell r="E2">
            <v>480</v>
          </cell>
          <cell r="F2">
            <v>164</v>
          </cell>
          <cell r="G2">
            <v>1027</v>
          </cell>
          <cell r="H2">
            <v>0.46738072054527752</v>
          </cell>
          <cell r="I2">
            <v>0.15968841285296981</v>
          </cell>
          <cell r="J2">
            <v>0.37293086660175268</v>
          </cell>
        </row>
      </sheetData>
      <sheetData sheetId="46">
        <row r="2">
          <cell r="D2">
            <v>0.60201828410689118</v>
          </cell>
          <cell r="E2">
            <v>648</v>
          </cell>
          <cell r="F2">
            <v>193</v>
          </cell>
          <cell r="G2">
            <v>1422</v>
          </cell>
          <cell r="H2">
            <v>0.45569620253164556</v>
          </cell>
          <cell r="I2">
            <v>0.13572433192686356</v>
          </cell>
          <cell r="J2">
            <v>0.40857946554149094</v>
          </cell>
        </row>
      </sheetData>
      <sheetData sheetId="47">
        <row r="2">
          <cell r="D2">
            <v>0.59416348357524806</v>
          </cell>
          <cell r="E2">
            <v>640</v>
          </cell>
          <cell r="F2">
            <v>162</v>
          </cell>
          <cell r="G2">
            <v>1309</v>
          </cell>
          <cell r="H2">
            <v>0.48892284186401835</v>
          </cell>
          <cell r="I2">
            <v>0.12375859434682965</v>
          </cell>
          <cell r="J2">
            <v>0.38731856378915197</v>
          </cell>
        </row>
      </sheetData>
      <sheetData sheetId="48">
        <row r="2">
          <cell r="D2">
            <v>0.53089839921594228</v>
          </cell>
          <cell r="E2">
            <v>1397</v>
          </cell>
          <cell r="F2">
            <v>485</v>
          </cell>
          <cell r="G2">
            <v>3061</v>
          </cell>
          <cell r="H2">
            <v>0.45638680169879126</v>
          </cell>
          <cell r="I2">
            <v>0.15844495262985953</v>
          </cell>
          <cell r="J2">
            <v>0.38516824567134922</v>
          </cell>
        </row>
      </sheetData>
      <sheetData sheetId="4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stonCollege"/>
      <sheetName val="CWCR"/>
      <sheetName val="Duke"/>
      <sheetName val="GeorgeTown"/>
      <sheetName val="JHU"/>
      <sheetName val="Lehigh"/>
      <sheetName val="Emory"/>
      <sheetName val="NorthWestern"/>
      <sheetName val="Notredame"/>
      <sheetName val="RPI"/>
      <sheetName val="Tufts"/>
      <sheetName val="Tulane"/>
      <sheetName val="UCI"/>
      <sheetName val="UCSB"/>
      <sheetName val="UM"/>
      <sheetName val="URochester"/>
      <sheetName val="UVA"/>
      <sheetName val="UWMadison"/>
      <sheetName val="Vanderbilt"/>
      <sheetName val="Villanova"/>
      <sheetName val="Washu"/>
      <sheetName val="williamandmary"/>
    </sheetNames>
    <sheetDataSet>
      <sheetData sheetId="0">
        <row r="3">
          <cell r="D3">
            <v>0.59147762109135515</v>
          </cell>
          <cell r="E3">
            <v>756</v>
          </cell>
          <cell r="F3">
            <v>233</v>
          </cell>
          <cell r="G3">
            <v>1631</v>
          </cell>
          <cell r="H3">
            <v>0.46351931330472101</v>
          </cell>
          <cell r="I3">
            <v>0.14285714285714285</v>
          </cell>
          <cell r="J3">
            <v>0.39362354383813614</v>
          </cell>
        </row>
      </sheetData>
      <sheetData sheetId="1">
        <row r="3">
          <cell r="D3">
            <v>0.63769968051118231</v>
          </cell>
          <cell r="E3">
            <v>494</v>
          </cell>
          <cell r="F3">
            <v>133</v>
          </cell>
          <cell r="G3">
            <v>939</v>
          </cell>
          <cell r="H3">
            <v>0.52609158679446222</v>
          </cell>
          <cell r="I3">
            <v>0.14164004259850904</v>
          </cell>
          <cell r="J3">
            <v>0.33226837060702874</v>
          </cell>
        </row>
      </sheetData>
      <sheetData sheetId="2">
        <row r="3">
          <cell r="D3">
            <v>0.64090434214822023</v>
          </cell>
          <cell r="E3">
            <v>1476</v>
          </cell>
          <cell r="F3">
            <v>424</v>
          </cell>
          <cell r="G3">
            <v>3063</v>
          </cell>
          <cell r="H3">
            <v>0.48188050930460335</v>
          </cell>
          <cell r="I3">
            <v>0.13842637936663402</v>
          </cell>
          <cell r="J3">
            <v>0.3796931113287626</v>
          </cell>
        </row>
      </sheetData>
      <sheetData sheetId="3">
        <row r="3">
          <cell r="D3">
            <v>0.65393013100436703</v>
          </cell>
          <cell r="E3">
            <v>217</v>
          </cell>
          <cell r="F3">
            <v>51</v>
          </cell>
          <cell r="G3">
            <v>458</v>
          </cell>
          <cell r="H3">
            <v>0.47379912663755458</v>
          </cell>
          <cell r="I3">
            <v>0.11135371179039301</v>
          </cell>
          <cell r="J3">
            <v>0.41484716157205237</v>
          </cell>
        </row>
      </sheetData>
      <sheetData sheetId="4">
        <row r="3">
          <cell r="D3">
            <v>0.60318909710391833</v>
          </cell>
          <cell r="E3">
            <v>1414</v>
          </cell>
          <cell r="F3">
            <v>332</v>
          </cell>
          <cell r="G3">
            <v>2935</v>
          </cell>
          <cell r="H3">
            <v>0.48177172061328788</v>
          </cell>
          <cell r="I3">
            <v>0.1131175468483816</v>
          </cell>
          <cell r="J3">
            <v>0.40511073253833052</v>
          </cell>
        </row>
      </sheetData>
      <sheetData sheetId="5">
        <row r="3">
          <cell r="D3">
            <v>0.42228704784130716</v>
          </cell>
          <cell r="E3">
            <v>1072</v>
          </cell>
          <cell r="F3">
            <v>463</v>
          </cell>
          <cell r="G3">
            <v>2571</v>
          </cell>
          <cell r="H3">
            <v>0.41695838195254764</v>
          </cell>
          <cell r="I3">
            <v>0.18008556981719176</v>
          </cell>
          <cell r="J3">
            <v>0.40295604823026054</v>
          </cell>
        </row>
      </sheetData>
      <sheetData sheetId="6">
        <row r="3">
          <cell r="D3">
            <v>0.5575407608695655</v>
          </cell>
          <cell r="E3">
            <v>333</v>
          </cell>
          <cell r="F3">
            <v>105</v>
          </cell>
          <cell r="G3">
            <v>736</v>
          </cell>
          <cell r="H3">
            <v>0.45244565217391303</v>
          </cell>
          <cell r="I3">
            <v>0.14266304347826086</v>
          </cell>
          <cell r="J3">
            <v>0.40489130434782616</v>
          </cell>
        </row>
      </sheetData>
      <sheetData sheetId="7">
        <row r="3">
          <cell r="D3">
            <v>0.62189902034664701</v>
          </cell>
          <cell r="E3">
            <v>627</v>
          </cell>
          <cell r="F3">
            <v>158</v>
          </cell>
          <cell r="G3">
            <v>1327</v>
          </cell>
          <cell r="H3">
            <v>0.4724943481537302</v>
          </cell>
          <cell r="I3">
            <v>0.11906556141672947</v>
          </cell>
          <cell r="J3">
            <v>0.40844009042954033</v>
          </cell>
        </row>
      </sheetData>
      <sheetData sheetId="8">
        <row r="3">
          <cell r="D3">
            <v>0.70224181360201621</v>
          </cell>
          <cell r="E3">
            <v>1353</v>
          </cell>
          <cell r="F3">
            <v>360</v>
          </cell>
          <cell r="G3">
            <v>2779</v>
          </cell>
          <cell r="H3">
            <v>0.48686577905721484</v>
          </cell>
          <cell r="I3">
            <v>0.12954300107952502</v>
          </cell>
          <cell r="J3">
            <v>0.38359121986326017</v>
          </cell>
        </row>
      </sheetData>
      <sheetData sheetId="9">
        <row r="3">
          <cell r="D3">
            <v>0.41761443187937503</v>
          </cell>
          <cell r="E3">
            <v>792</v>
          </cell>
          <cell r="F3">
            <v>332</v>
          </cell>
          <cell r="G3">
            <v>1857</v>
          </cell>
          <cell r="H3">
            <v>0.42649434571890144</v>
          </cell>
          <cell r="I3">
            <v>0.17878298330640818</v>
          </cell>
          <cell r="J3">
            <v>0.39472267097469038</v>
          </cell>
        </row>
      </sheetData>
      <sheetData sheetId="10">
        <row r="3">
          <cell r="D3">
            <v>0.37520612485276783</v>
          </cell>
          <cell r="E3">
            <v>951</v>
          </cell>
          <cell r="F3">
            <v>516</v>
          </cell>
          <cell r="G3">
            <v>2547</v>
          </cell>
          <cell r="H3">
            <v>0.37338044758539457</v>
          </cell>
          <cell r="I3">
            <v>0.20259128386336867</v>
          </cell>
          <cell r="J3">
            <v>0.42402826855123676</v>
          </cell>
        </row>
      </sheetData>
      <sheetData sheetId="11">
        <row r="3">
          <cell r="D3">
            <v>0.38747010698552553</v>
          </cell>
          <cell r="E3">
            <v>604</v>
          </cell>
          <cell r="F3">
            <v>225</v>
          </cell>
          <cell r="G3">
            <v>1589</v>
          </cell>
          <cell r="H3">
            <v>0.38011327879169288</v>
          </cell>
          <cell r="I3">
            <v>0.14159848961611077</v>
          </cell>
          <cell r="J3">
            <v>0.47828823159219636</v>
          </cell>
        </row>
      </sheetData>
      <sheetData sheetId="12">
        <row r="3">
          <cell r="D3">
            <v>0.28475506072874446</v>
          </cell>
          <cell r="E3">
            <v>1866</v>
          </cell>
          <cell r="F3">
            <v>929</v>
          </cell>
          <cell r="G3">
            <v>4940</v>
          </cell>
          <cell r="H3">
            <v>0.37773279352226719</v>
          </cell>
          <cell r="I3">
            <v>0.18805668016194332</v>
          </cell>
          <cell r="J3">
            <v>0.43421052631578949</v>
          </cell>
        </row>
      </sheetData>
      <sheetData sheetId="13">
        <row r="3">
          <cell r="D3">
            <v>0.42188273265196324</v>
          </cell>
          <cell r="E3">
            <v>1612</v>
          </cell>
          <cell r="F3">
            <v>633</v>
          </cell>
          <cell r="G3">
            <v>3718</v>
          </cell>
          <cell r="H3">
            <v>0.43356643356643354</v>
          </cell>
          <cell r="I3">
            <v>0.17025282409897793</v>
          </cell>
          <cell r="J3">
            <v>0.39618074233458855</v>
          </cell>
        </row>
      </sheetData>
      <sheetData sheetId="14">
        <row r="3">
          <cell r="D3">
            <v>0.55853410097431444</v>
          </cell>
          <cell r="E3">
            <v>1062</v>
          </cell>
          <cell r="F3">
            <v>334</v>
          </cell>
          <cell r="G3">
            <v>2258</v>
          </cell>
          <cell r="H3">
            <v>0.47032772364924713</v>
          </cell>
          <cell r="I3">
            <v>0.14791851195748451</v>
          </cell>
          <cell r="J3">
            <v>0.38175376439326836</v>
          </cell>
        </row>
      </sheetData>
      <sheetData sheetId="15">
        <row r="3">
          <cell r="D3">
            <v>0.4697135183527304</v>
          </cell>
          <cell r="E3">
            <v>473</v>
          </cell>
          <cell r="F3">
            <v>176</v>
          </cell>
          <cell r="G3">
            <v>1117</v>
          </cell>
          <cell r="H3">
            <v>0.42345568487018798</v>
          </cell>
          <cell r="I3">
            <v>0.15756490599820949</v>
          </cell>
          <cell r="J3">
            <v>0.41897940913160259</v>
          </cell>
        </row>
      </sheetData>
      <sheetData sheetId="16">
        <row r="3">
          <cell r="D3">
            <v>0.58163583252190876</v>
          </cell>
          <cell r="E3">
            <v>1450</v>
          </cell>
          <cell r="F3">
            <v>427</v>
          </cell>
          <cell r="G3">
            <v>3081</v>
          </cell>
          <cell r="H3">
            <v>0.47062641999350863</v>
          </cell>
          <cell r="I3">
            <v>0.13859136643946771</v>
          </cell>
          <cell r="J3">
            <v>0.3907822135670237</v>
          </cell>
        </row>
      </sheetData>
      <sheetData sheetId="17">
        <row r="3">
          <cell r="D3">
            <v>0.57336766541822748</v>
          </cell>
          <cell r="E3">
            <v>1517</v>
          </cell>
          <cell r="F3">
            <v>446</v>
          </cell>
          <cell r="G3">
            <v>3204</v>
          </cell>
          <cell r="H3">
            <v>0.47347066167290885</v>
          </cell>
          <cell r="I3">
            <v>0.13920099875156056</v>
          </cell>
          <cell r="J3">
            <v>0.38732833957553059</v>
          </cell>
        </row>
      </sheetData>
      <sheetData sheetId="18">
        <row r="3">
          <cell r="D3">
            <v>0.7569709543568468</v>
          </cell>
          <cell r="E3">
            <v>1141</v>
          </cell>
          <cell r="F3">
            <v>237</v>
          </cell>
          <cell r="G3">
            <v>2169</v>
          </cell>
          <cell r="H3">
            <v>0.52604887044721071</v>
          </cell>
          <cell r="I3">
            <v>0.10926694329183956</v>
          </cell>
          <cell r="J3">
            <v>0.36468418626094978</v>
          </cell>
          <cell r="K3">
            <v>4.814345991561181</v>
          </cell>
        </row>
      </sheetData>
      <sheetData sheetId="19">
        <row r="3">
          <cell r="D3">
            <v>0.59025036818851251</v>
          </cell>
          <cell r="E3">
            <v>629</v>
          </cell>
          <cell r="F3">
            <v>206</v>
          </cell>
          <cell r="G3">
            <v>1358</v>
          </cell>
          <cell r="H3">
            <v>0.46318114874815908</v>
          </cell>
          <cell r="I3">
            <v>0.15169366715758467</v>
          </cell>
          <cell r="J3">
            <v>0.38512518409425622</v>
          </cell>
        </row>
      </sheetData>
      <sheetData sheetId="20">
        <row r="3">
          <cell r="D3">
            <v>0.64222590361445775</v>
          </cell>
          <cell r="E3">
            <v>1621</v>
          </cell>
          <cell r="F3">
            <v>435</v>
          </cell>
          <cell r="G3">
            <v>3320</v>
          </cell>
          <cell r="H3">
            <v>0.48825301204819277</v>
          </cell>
          <cell r="I3">
            <v>0.13102409638554216</v>
          </cell>
          <cell r="J3">
            <v>0.38072289156626504</v>
          </cell>
        </row>
      </sheetData>
      <sheetData sheetId="2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xasA&amp;M"/>
      <sheetName val="ASU"/>
      <sheetName val="Ohio State Uni"/>
      <sheetName val="UoWashington"/>
      <sheetName val="UCLA"/>
      <sheetName val="UniversityofFlorida"/>
      <sheetName val="IndianaUniversity"/>
      <sheetName val="UniversityofMinnesota TwinCitie"/>
      <sheetName val="UTAustin"/>
      <sheetName val="Temple"/>
      <sheetName val="UCDavis"/>
      <sheetName val="University of Missouri"/>
      <sheetName val="UCBerkeley"/>
      <sheetName val="Colorado State University FC"/>
      <sheetName val="UniversityofKentucky"/>
      <sheetName val="UniversityofOklahoma"/>
      <sheetName val="University of North Carolina CH"/>
      <sheetName val="University of Miami"/>
      <sheetName val="Riceuniversity"/>
      <sheetName val="Uofchicago"/>
      <sheetName val="Collegeofwilliamandmary"/>
      <sheetName val="Sheet1"/>
    </sheetNames>
    <sheetDataSet>
      <sheetData sheetId="0">
        <row r="2">
          <cell r="D2">
            <v>0.42994332493702797</v>
          </cell>
          <cell r="E2">
            <v>661</v>
          </cell>
          <cell r="F2">
            <v>278</v>
          </cell>
          <cell r="G2">
            <v>1588</v>
          </cell>
          <cell r="H2">
            <v>0.41624685138539042</v>
          </cell>
          <cell r="I2">
            <v>0.17506297229219145</v>
          </cell>
          <cell r="J2">
            <v>0.40869017632241811</v>
          </cell>
        </row>
      </sheetData>
      <sheetData sheetId="1">
        <row r="2">
          <cell r="D2">
            <v>0.408982349095664</v>
          </cell>
          <cell r="E2">
            <v>1943</v>
          </cell>
          <cell r="F2">
            <v>790</v>
          </cell>
          <cell r="G2">
            <v>4589</v>
          </cell>
          <cell r="H2">
            <v>0.42340379167574638</v>
          </cell>
          <cell r="I2">
            <v>0.17215079538025713</v>
          </cell>
          <cell r="J2">
            <v>0.4044454129439965</v>
          </cell>
        </row>
      </sheetData>
      <sheetData sheetId="2">
        <row r="2">
          <cell r="D2">
            <v>0.25174545454545444</v>
          </cell>
          <cell r="E2">
            <v>840</v>
          </cell>
          <cell r="F2">
            <v>472</v>
          </cell>
          <cell r="G2">
            <v>2200</v>
          </cell>
          <cell r="H2">
            <v>0.38181818181818183</v>
          </cell>
          <cell r="I2">
            <v>0.21454545454545454</v>
          </cell>
          <cell r="J2">
            <v>0.40363636363636357</v>
          </cell>
        </row>
      </sheetData>
      <sheetData sheetId="3">
        <row r="2">
          <cell r="D2">
            <v>0.46355524079320137</v>
          </cell>
          <cell r="E2">
            <v>621</v>
          </cell>
          <cell r="F2">
            <v>243</v>
          </cell>
          <cell r="G2">
            <v>1412</v>
          </cell>
          <cell r="H2">
            <v>0.4398016997167139</v>
          </cell>
          <cell r="I2">
            <v>0.17209631728045327</v>
          </cell>
          <cell r="J2">
            <v>0.38810198300283283</v>
          </cell>
        </row>
      </sheetData>
      <sheetData sheetId="4">
        <row r="2">
          <cell r="D2">
            <v>0.51787499999999997</v>
          </cell>
          <cell r="E2">
            <v>1519</v>
          </cell>
          <cell r="F2">
            <v>499</v>
          </cell>
          <cell r="G2">
            <v>3040</v>
          </cell>
          <cell r="H2">
            <v>0.49967105263157896</v>
          </cell>
          <cell r="I2">
            <v>0.16414473684210526</v>
          </cell>
          <cell r="J2">
            <v>0.33618421052631575</v>
          </cell>
        </row>
      </sheetData>
      <sheetData sheetId="5">
        <row r="2">
          <cell r="D2">
            <v>0.60955073829720396</v>
          </cell>
          <cell r="E2">
            <v>1582</v>
          </cell>
          <cell r="F2">
            <v>429</v>
          </cell>
          <cell r="G2">
            <v>3183</v>
          </cell>
          <cell r="H2">
            <v>0.49701539428212377</v>
          </cell>
          <cell r="I2">
            <v>0.1347785108388313</v>
          </cell>
          <cell r="J2">
            <v>0.36820609487904488</v>
          </cell>
        </row>
      </sheetData>
      <sheetData sheetId="6">
        <row r="2">
          <cell r="D2">
            <v>0.55199481865284983</v>
          </cell>
          <cell r="E2">
            <v>164</v>
          </cell>
          <cell r="F2">
            <v>51</v>
          </cell>
          <cell r="G2">
            <v>386</v>
          </cell>
          <cell r="H2">
            <v>0.42487046632124353</v>
          </cell>
          <cell r="I2">
            <v>0.13212435233160622</v>
          </cell>
          <cell r="J2">
            <v>0.44300518134715028</v>
          </cell>
        </row>
      </sheetData>
      <sheetData sheetId="7">
        <row r="2">
          <cell r="D2">
            <v>0.47851441241685111</v>
          </cell>
          <cell r="E2">
            <v>991</v>
          </cell>
          <cell r="F2">
            <v>368</v>
          </cell>
          <cell r="G2">
            <v>2255</v>
          </cell>
          <cell r="H2">
            <v>0.43946784922394677</v>
          </cell>
          <cell r="I2">
            <v>0.1631929046563193</v>
          </cell>
          <cell r="J2">
            <v>0.39733924611973392</v>
          </cell>
        </row>
      </sheetData>
      <sheetData sheetId="8">
        <row r="2">
          <cell r="D2">
            <v>0.51117973372781056</v>
          </cell>
          <cell r="E2">
            <v>1248</v>
          </cell>
          <cell r="F2">
            <v>427</v>
          </cell>
          <cell r="G2">
            <v>2704</v>
          </cell>
          <cell r="H2">
            <v>0.46153846153846156</v>
          </cell>
          <cell r="I2">
            <v>0.15791420118343194</v>
          </cell>
          <cell r="J2">
            <v>0.38054733727810652</v>
          </cell>
        </row>
      </sheetData>
      <sheetData sheetId="9">
        <row r="2">
          <cell r="D2">
            <v>0.48292082501663303</v>
          </cell>
          <cell r="E2">
            <v>672</v>
          </cell>
          <cell r="F2">
            <v>249</v>
          </cell>
          <cell r="G2">
            <v>1503</v>
          </cell>
          <cell r="H2">
            <v>0.44710578842315368</v>
          </cell>
          <cell r="I2">
            <v>0.16566866267465069</v>
          </cell>
          <cell r="J2">
            <v>0.38722554890219563</v>
          </cell>
        </row>
      </sheetData>
      <sheetData sheetId="10">
        <row r="2">
          <cell r="D2">
            <v>0.50268895348837173</v>
          </cell>
          <cell r="E2">
            <v>1611</v>
          </cell>
          <cell r="F2">
            <v>556</v>
          </cell>
          <cell r="G2">
            <v>3440</v>
          </cell>
          <cell r="H2">
            <v>0.46831395348837207</v>
          </cell>
          <cell r="I2">
            <v>0.16162790697674417</v>
          </cell>
          <cell r="J2">
            <v>0.37005813953488376</v>
          </cell>
        </row>
      </sheetData>
      <sheetData sheetId="11">
        <row r="2">
          <cell r="D2">
            <v>0.32494821249582362</v>
          </cell>
          <cell r="E2">
            <v>1207</v>
          </cell>
          <cell r="F2">
            <v>647</v>
          </cell>
          <cell r="G2">
            <v>2993</v>
          </cell>
          <cell r="H2">
            <v>0.40327430671566988</v>
          </cell>
          <cell r="I2">
            <v>0.21617106582024725</v>
          </cell>
          <cell r="J2">
            <v>0.38055462746408286</v>
          </cell>
        </row>
      </sheetData>
      <sheetData sheetId="12">
        <row r="2">
          <cell r="D2">
            <v>0.5762293794186959</v>
          </cell>
          <cell r="E2">
            <v>659</v>
          </cell>
          <cell r="F2">
            <v>187</v>
          </cell>
          <cell r="G2">
            <v>1273</v>
          </cell>
          <cell r="H2">
            <v>0.51767478397486255</v>
          </cell>
          <cell r="I2">
            <v>0.14689709347996857</v>
          </cell>
          <cell r="J2">
            <v>0.33542812254516885</v>
          </cell>
        </row>
      </sheetData>
      <sheetData sheetId="13">
        <row r="2">
          <cell r="D2">
            <v>0.67458868894601565</v>
          </cell>
          <cell r="E2">
            <v>778</v>
          </cell>
          <cell r="F2">
            <v>204</v>
          </cell>
          <cell r="G2">
            <v>1556</v>
          </cell>
          <cell r="H2">
            <v>0.5</v>
          </cell>
          <cell r="I2">
            <v>0.13110539845758354</v>
          </cell>
          <cell r="J2">
            <v>0.36889460154241649</v>
          </cell>
        </row>
      </sheetData>
      <sheetData sheetId="14">
        <row r="2">
          <cell r="D2">
            <v>0.53089206066012495</v>
          </cell>
          <cell r="E2">
            <v>504</v>
          </cell>
          <cell r="F2">
            <v>172</v>
          </cell>
          <cell r="G2">
            <v>1121</v>
          </cell>
          <cell r="H2">
            <v>0.44959857270294379</v>
          </cell>
          <cell r="I2">
            <v>0.15343443354148081</v>
          </cell>
          <cell r="J2">
            <v>0.39696699375557543</v>
          </cell>
        </row>
      </sheetData>
      <sheetData sheetId="15">
        <row r="2">
          <cell r="D2">
            <v>0.48799159271368547</v>
          </cell>
          <cell r="E2">
            <v>923</v>
          </cell>
          <cell r="F2">
            <v>356</v>
          </cell>
          <cell r="G2">
            <v>2141</v>
          </cell>
          <cell r="H2">
            <v>0.43110695936478283</v>
          </cell>
          <cell r="I2">
            <v>0.1662774404483886</v>
          </cell>
          <cell r="J2">
            <v>0.40261560018682863</v>
          </cell>
        </row>
      </sheetData>
      <sheetData sheetId="16">
        <row r="2">
          <cell r="D2">
            <v>0.75296296296296283</v>
          </cell>
          <cell r="E2">
            <v>93</v>
          </cell>
          <cell r="F2">
            <v>18</v>
          </cell>
          <cell r="G2">
            <v>162</v>
          </cell>
          <cell r="H2">
            <v>0.57407407407407407</v>
          </cell>
          <cell r="I2">
            <v>0.1111111111111111</v>
          </cell>
          <cell r="J2">
            <v>0.31481481481481488</v>
          </cell>
        </row>
      </sheetData>
      <sheetData sheetId="17">
        <row r="2">
          <cell r="D2">
            <v>0.56817460317460333</v>
          </cell>
          <cell r="E2">
            <v>560</v>
          </cell>
          <cell r="F2">
            <v>169</v>
          </cell>
          <cell r="G2">
            <v>1260</v>
          </cell>
          <cell r="H2">
            <v>0.44444444444444442</v>
          </cell>
          <cell r="I2">
            <v>0.13412698412698412</v>
          </cell>
          <cell r="J2">
            <v>0.42142857142857149</v>
          </cell>
        </row>
      </sheetData>
      <sheetData sheetId="18">
        <row r="577">
          <cell r="D577">
            <v>0.67293245469522278</v>
          </cell>
          <cell r="E577">
            <v>297</v>
          </cell>
          <cell r="F577">
            <v>82</v>
          </cell>
          <cell r="G577">
            <v>607</v>
          </cell>
          <cell r="H577">
            <v>0.48929159802306427</v>
          </cell>
          <cell r="I577">
            <v>0.13509060955518945</v>
          </cell>
          <cell r="J577">
            <v>0.37561779242174631</v>
          </cell>
        </row>
      </sheetData>
      <sheetData sheetId="19">
        <row r="2">
          <cell r="D2">
            <v>0.42837345003646954</v>
          </cell>
          <cell r="E2">
            <v>1175</v>
          </cell>
          <cell r="F2">
            <v>421</v>
          </cell>
          <cell r="G2">
            <v>2742</v>
          </cell>
          <cell r="H2">
            <v>0.42851932895696571</v>
          </cell>
          <cell r="I2">
            <v>0.15353756382202771</v>
          </cell>
          <cell r="J2">
            <v>0.41794310722100658</v>
          </cell>
        </row>
      </sheetData>
      <sheetData sheetId="20">
        <row r="2">
          <cell r="D2">
            <v>0.52421990438939603</v>
          </cell>
          <cell r="E2">
            <v>1048</v>
          </cell>
          <cell r="F2">
            <v>390</v>
          </cell>
          <cell r="G2">
            <v>2301</v>
          </cell>
          <cell r="H2">
            <v>0.45545415036940462</v>
          </cell>
          <cell r="I2">
            <v>0.16949152542372881</v>
          </cell>
          <cell r="J2">
            <v>0.37505432420686657</v>
          </cell>
        </row>
      </sheetData>
      <sheetData sheetId="2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merican Uni"/>
      <sheetName val="Auburn "/>
      <sheetName val="baylor"/>
      <sheetName val="BinghamtonUniversity"/>
      <sheetName val="Clemson University "/>
      <sheetName val="DePaul University"/>
      <sheetName val="Duquesne"/>
      <sheetName val="Fordham"/>
      <sheetName val="George Washington University"/>
      <sheetName val="Hofstra"/>
      <sheetName val="Loyola University Chicago"/>
      <sheetName val="Louisiana State University"/>
      <sheetName val="Marquette"/>
      <sheetName val="Miami University"/>
      <sheetName val="Michigan Techno Uni"/>
      <sheetName val="North Carolina State University"/>
      <sheetName val="RIT"/>
      <sheetName val="SBU"/>
      <sheetName val="Saint Louis University"/>
      <sheetName val="Seton Hall"/>
      <sheetName val="Southern Methodist University"/>
      <sheetName val="SyracuseU"/>
      <sheetName val="Texas Christian University"/>
      <sheetName val="TheNewSchool"/>
      <sheetName val="University at buffalo"/>
      <sheetName val="University of Cincinnati"/>
      <sheetName val="UCONN"/>
      <sheetName val="UC Riverside"/>
      <sheetName val="UC SantaCruz"/>
      <sheetName val="University of Dayton"/>
      <sheetName val="University of Delaware"/>
      <sheetName val="University of Denver"/>
      <sheetName val="University of Georgia"/>
      <sheetName val="University of Iowa"/>
      <sheetName val="UniversityofKansas"/>
      <sheetName val="umass"/>
      <sheetName val="University of Missouri"/>
      <sheetName val="University of Nebraska"/>
      <sheetName val="University of New Hampshire"/>
      <sheetName val="University of Oregon"/>
      <sheetName val="University of San Diego"/>
      <sheetName val="University of San Francisco"/>
      <sheetName val="UniversityOfStThomas"/>
      <sheetName val="university of south carolina"/>
      <sheetName val="University of Tennessee"/>
      <sheetName val="University of Utah"/>
      <sheetName val="University of Vermont"/>
      <sheetName val="Virginia Tech"/>
    </sheetNames>
    <sheetDataSet>
      <sheetData sheetId="0">
        <row r="2">
          <cell r="D2">
            <v>0.59696629213483154</v>
          </cell>
          <cell r="E2">
            <v>302</v>
          </cell>
          <cell r="F2">
            <v>76</v>
          </cell>
          <cell r="G2">
            <v>623</v>
          </cell>
          <cell r="H2">
            <v>0.48475120385232745</v>
          </cell>
          <cell r="I2">
            <v>0.12199036918138041</v>
          </cell>
          <cell r="J2">
            <v>0.3932584269662921</v>
          </cell>
        </row>
      </sheetData>
      <sheetData sheetId="1">
        <row r="2">
          <cell r="D2">
            <v>0.42050847457627138</v>
          </cell>
          <cell r="E2">
            <v>1511</v>
          </cell>
          <cell r="F2">
            <v>663</v>
          </cell>
          <cell r="G2">
            <v>3717</v>
          </cell>
          <cell r="H2">
            <v>0.40651062684960992</v>
          </cell>
          <cell r="I2">
            <v>0.17836965294592413</v>
          </cell>
          <cell r="J2">
            <v>0.41511972020446597</v>
          </cell>
        </row>
      </sheetData>
      <sheetData sheetId="2">
        <row r="2">
          <cell r="D2">
            <v>0.56496632996633012</v>
          </cell>
          <cell r="E2">
            <v>249</v>
          </cell>
          <cell r="F2">
            <v>91</v>
          </cell>
          <cell r="G2">
            <v>594</v>
          </cell>
          <cell r="H2">
            <v>0.41919191919191917</v>
          </cell>
          <cell r="I2">
            <v>0.1531986531986532</v>
          </cell>
          <cell r="J2">
            <v>0.42760942760942766</v>
          </cell>
        </row>
      </sheetData>
      <sheetData sheetId="3">
        <row r="2">
          <cell r="D2">
            <v>0.50574350904799392</v>
          </cell>
          <cell r="E2">
            <v>584</v>
          </cell>
          <cell r="F2">
            <v>189</v>
          </cell>
          <cell r="G2">
            <v>1271</v>
          </cell>
          <cell r="H2">
            <v>0.45948072383949645</v>
          </cell>
          <cell r="I2">
            <v>0.14870180959874116</v>
          </cell>
          <cell r="J2">
            <v>0.39181746656176242</v>
          </cell>
        </row>
      </sheetData>
      <sheetData sheetId="4">
        <row r="2">
          <cell r="D2">
            <v>0.52352818371607479</v>
          </cell>
          <cell r="E2">
            <v>1654</v>
          </cell>
          <cell r="F2">
            <v>604</v>
          </cell>
          <cell r="G2">
            <v>3832</v>
          </cell>
          <cell r="H2">
            <v>0.43162839248434237</v>
          </cell>
          <cell r="I2">
            <v>0.15762004175365343</v>
          </cell>
          <cell r="J2">
            <v>0.41075156576200422</v>
          </cell>
        </row>
      </sheetData>
      <sheetData sheetId="5">
        <row r="2">
          <cell r="D2">
            <v>0.55157068062827252</v>
          </cell>
          <cell r="E2">
            <v>271</v>
          </cell>
          <cell r="F2">
            <v>100</v>
          </cell>
          <cell r="G2">
            <v>573</v>
          </cell>
          <cell r="H2">
            <v>0.47294938917975565</v>
          </cell>
          <cell r="I2">
            <v>0.17452006980802792</v>
          </cell>
          <cell r="J2">
            <v>0.35253054101221637</v>
          </cell>
        </row>
      </sheetData>
      <sheetData sheetId="6">
        <row r="2">
          <cell r="D2">
            <v>0.64367999999999992</v>
          </cell>
          <cell r="E2">
            <v>53</v>
          </cell>
          <cell r="F2">
            <v>13</v>
          </cell>
          <cell r="G2">
            <v>125</v>
          </cell>
          <cell r="H2">
            <v>0.42399999999999999</v>
          </cell>
          <cell r="I2">
            <v>0.104</v>
          </cell>
          <cell r="J2">
            <v>0.47199999999999998</v>
          </cell>
        </row>
      </sheetData>
      <sheetData sheetId="7">
        <row r="2">
          <cell r="D2">
            <v>0.60631274131274104</v>
          </cell>
          <cell r="E2">
            <v>256</v>
          </cell>
          <cell r="F2">
            <v>68</v>
          </cell>
          <cell r="G2">
            <v>518</v>
          </cell>
          <cell r="H2">
            <v>0.49420849420849422</v>
          </cell>
          <cell r="I2">
            <v>0.13127413127413126</v>
          </cell>
          <cell r="J2">
            <v>0.37451737451737455</v>
          </cell>
        </row>
      </sheetData>
      <sheetData sheetId="8">
        <row r="2">
          <cell r="D2">
            <v>0.59964545454545415</v>
          </cell>
          <cell r="E2">
            <v>536</v>
          </cell>
          <cell r="F2">
            <v>146</v>
          </cell>
          <cell r="G2">
            <v>1100</v>
          </cell>
          <cell r="H2">
            <v>0.48727272727272725</v>
          </cell>
          <cell r="I2">
            <v>0.13272727272727272</v>
          </cell>
          <cell r="J2">
            <v>0.38</v>
          </cell>
        </row>
      </sheetData>
      <sheetData sheetId="9">
        <row r="2">
          <cell r="D2">
            <v>0.35585903083700438</v>
          </cell>
          <cell r="E2">
            <v>172</v>
          </cell>
          <cell r="F2">
            <v>75</v>
          </cell>
          <cell r="G2">
            <v>454</v>
          </cell>
          <cell r="H2">
            <v>0.3788546255506608</v>
          </cell>
          <cell r="I2">
            <v>0.16519823788546256</v>
          </cell>
          <cell r="J2">
            <v>0.45594713656387664</v>
          </cell>
        </row>
      </sheetData>
      <sheetData sheetId="10">
        <row r="2">
          <cell r="D2">
            <v>0.66810526315789465</v>
          </cell>
          <cell r="E2">
            <v>518</v>
          </cell>
          <cell r="F2">
            <v>123</v>
          </cell>
          <cell r="G2">
            <v>1045</v>
          </cell>
          <cell r="H2">
            <v>0.49569377990430624</v>
          </cell>
          <cell r="I2">
            <v>0.11770334928229666</v>
          </cell>
          <cell r="J2">
            <v>0.38660287081339706</v>
          </cell>
        </row>
      </sheetData>
      <sheetData sheetId="11">
        <row r="2">
          <cell r="D2">
            <v>0.45192648506727973</v>
          </cell>
          <cell r="E2">
            <v>1219</v>
          </cell>
          <cell r="F2">
            <v>452</v>
          </cell>
          <cell r="G2">
            <v>3047</v>
          </cell>
          <cell r="H2">
            <v>0.40006563833278636</v>
          </cell>
          <cell r="I2">
            <v>0.14834263209714474</v>
          </cell>
          <cell r="J2">
            <v>0.45159172957006888</v>
          </cell>
        </row>
      </sheetData>
      <sheetData sheetId="12">
        <row r="2">
          <cell r="D2">
            <v>0.50828571428571445</v>
          </cell>
          <cell r="E2">
            <v>123</v>
          </cell>
          <cell r="F2">
            <v>48</v>
          </cell>
          <cell r="G2">
            <v>280</v>
          </cell>
          <cell r="H2">
            <v>0.43928571428571428</v>
          </cell>
          <cell r="I2">
            <v>0.17142857142857143</v>
          </cell>
          <cell r="J2">
            <v>0.38928571428571423</v>
          </cell>
        </row>
      </sheetData>
      <sheetData sheetId="13">
        <row r="2">
          <cell r="D2">
            <v>0.49222578062449984</v>
          </cell>
          <cell r="E2">
            <v>561</v>
          </cell>
          <cell r="F2">
            <v>218</v>
          </cell>
          <cell r="G2">
            <v>1249</v>
          </cell>
          <cell r="H2">
            <v>0.44915932746196957</v>
          </cell>
          <cell r="I2">
            <v>0.1745396317053643</v>
          </cell>
          <cell r="J2">
            <v>0.37630104083266613</v>
          </cell>
        </row>
      </sheetData>
      <sheetData sheetId="14">
        <row r="2">
          <cell r="D2">
            <v>0.53983247030155335</v>
          </cell>
          <cell r="E2">
            <v>1506</v>
          </cell>
          <cell r="F2">
            <v>543</v>
          </cell>
          <cell r="G2">
            <v>3283</v>
          </cell>
          <cell r="H2">
            <v>0.45872677429180625</v>
          </cell>
          <cell r="I2">
            <v>0.1653975022844959</v>
          </cell>
          <cell r="J2">
            <v>0.37587572342369779</v>
          </cell>
        </row>
      </sheetData>
      <sheetData sheetId="15">
        <row r="2">
          <cell r="D2">
            <v>0.39260973030142809</v>
          </cell>
          <cell r="E2">
            <v>1550</v>
          </cell>
          <cell r="F2">
            <v>650</v>
          </cell>
          <cell r="G2">
            <v>3782</v>
          </cell>
          <cell r="H2">
            <v>0.4098360655737705</v>
          </cell>
          <cell r="I2">
            <v>0.1718667371760973</v>
          </cell>
          <cell r="J2">
            <v>0.41829719725013215</v>
          </cell>
        </row>
      </sheetData>
      <sheetData sheetId="16">
        <row r="2">
          <cell r="D2">
            <v>0.37412831709774941</v>
          </cell>
          <cell r="E2">
            <v>1201</v>
          </cell>
          <cell r="F2">
            <v>529</v>
          </cell>
          <cell r="G2">
            <v>2977</v>
          </cell>
          <cell r="H2">
            <v>0.40342626805508902</v>
          </cell>
          <cell r="I2">
            <v>0.17769566677863621</v>
          </cell>
          <cell r="J2">
            <v>0.41887806516627479</v>
          </cell>
        </row>
      </sheetData>
      <sheetData sheetId="17">
        <row r="2">
          <cell r="D2">
            <v>0.28646008924144739</v>
          </cell>
          <cell r="E2">
            <v>1419</v>
          </cell>
          <cell r="F2">
            <v>701</v>
          </cell>
          <cell r="G2">
            <v>4034</v>
          </cell>
          <cell r="H2">
            <v>0.35176003966286562</v>
          </cell>
          <cell r="I2">
            <v>0.17377293009419931</v>
          </cell>
          <cell r="J2">
            <v>0.47446703024293502</v>
          </cell>
        </row>
      </sheetData>
      <sheetData sheetId="18">
        <row r="2">
          <cell r="D2">
            <v>0.56635593220338998</v>
          </cell>
          <cell r="E2">
            <v>187</v>
          </cell>
          <cell r="F2">
            <v>63</v>
          </cell>
          <cell r="G2">
            <v>472</v>
          </cell>
          <cell r="H2">
            <v>0.3961864406779661</v>
          </cell>
          <cell r="I2">
            <v>0.13347457627118645</v>
          </cell>
          <cell r="J2">
            <v>0.47033898305084743</v>
          </cell>
        </row>
      </sheetData>
      <sheetData sheetId="19">
        <row r="2">
          <cell r="D2">
            <v>0.61402116402116402</v>
          </cell>
          <cell r="E2">
            <v>80</v>
          </cell>
          <cell r="F2">
            <v>19</v>
          </cell>
          <cell r="G2">
            <v>189</v>
          </cell>
          <cell r="H2">
            <v>0.42328042328042326</v>
          </cell>
          <cell r="I2">
            <v>0.10052910052910052</v>
          </cell>
          <cell r="J2">
            <v>0.47619047619047628</v>
          </cell>
        </row>
      </sheetData>
      <sheetData sheetId="20">
        <row r="2">
          <cell r="D2">
            <v>0.61597156398104291</v>
          </cell>
          <cell r="E2">
            <v>205</v>
          </cell>
          <cell r="F2">
            <v>58</v>
          </cell>
          <cell r="G2">
            <v>422</v>
          </cell>
          <cell r="H2">
            <v>0.48578199052132703</v>
          </cell>
          <cell r="I2">
            <v>0.13744075829383887</v>
          </cell>
          <cell r="J2">
            <v>0.37677725118483407</v>
          </cell>
        </row>
      </sheetData>
      <sheetData sheetId="21">
        <row r="2">
          <cell r="D2">
            <v>0.65493887530562311</v>
          </cell>
          <cell r="E2">
            <v>576</v>
          </cell>
          <cell r="F2">
            <v>156</v>
          </cell>
          <cell r="G2">
            <v>1227</v>
          </cell>
          <cell r="H2">
            <v>0.46943765281173594</v>
          </cell>
          <cell r="I2">
            <v>0.12713936430317849</v>
          </cell>
          <cell r="J2">
            <v>0.4034229828850856</v>
          </cell>
        </row>
      </sheetData>
      <sheetData sheetId="22">
        <row r="2">
          <cell r="D2">
            <v>0.6463037109375005</v>
          </cell>
          <cell r="E2">
            <v>975</v>
          </cell>
          <cell r="F2">
            <v>257</v>
          </cell>
          <cell r="G2">
            <v>2048</v>
          </cell>
          <cell r="H2">
            <v>0.47607421875</v>
          </cell>
          <cell r="I2">
            <v>0.12548828125</v>
          </cell>
          <cell r="J2">
            <v>0.3984375</v>
          </cell>
        </row>
      </sheetData>
      <sheetData sheetId="23">
        <row r="2">
          <cell r="D2">
            <v>0.71344827586206894</v>
          </cell>
          <cell r="E2">
            <v>57</v>
          </cell>
          <cell r="F2">
            <v>11</v>
          </cell>
          <cell r="G2">
            <v>116</v>
          </cell>
          <cell r="H2">
            <v>0.49137931034482757</v>
          </cell>
          <cell r="I2">
            <v>9.4827586206896547E-2</v>
          </cell>
          <cell r="J2">
            <v>0.41379310344827591</v>
          </cell>
        </row>
      </sheetData>
      <sheetData sheetId="24">
        <row r="2">
          <cell r="D2">
            <v>0.34127334465195247</v>
          </cell>
          <cell r="E2">
            <v>1152</v>
          </cell>
          <cell r="F2">
            <v>520</v>
          </cell>
          <cell r="G2">
            <v>2945</v>
          </cell>
          <cell r="H2">
            <v>0.39117147707979627</v>
          </cell>
          <cell r="I2">
            <v>0.1765704584040747</v>
          </cell>
          <cell r="J2">
            <v>0.43225806451612903</v>
          </cell>
        </row>
      </sheetData>
      <sheetData sheetId="25">
        <row r="2">
          <cell r="D2">
            <v>0.55039416846652245</v>
          </cell>
          <cell r="E2">
            <v>822</v>
          </cell>
          <cell r="F2">
            <v>269</v>
          </cell>
          <cell r="G2">
            <v>1852</v>
          </cell>
          <cell r="H2">
            <v>0.44384449244060475</v>
          </cell>
          <cell r="I2">
            <v>0.14524838012958963</v>
          </cell>
          <cell r="J2">
            <v>0.41090712742980562</v>
          </cell>
        </row>
      </sheetData>
      <sheetData sheetId="26">
        <row r="2">
          <cell r="D2">
            <v>0.37158425832492425</v>
          </cell>
          <cell r="E2">
            <v>399</v>
          </cell>
          <cell r="F2">
            <v>165</v>
          </cell>
          <cell r="G2">
            <v>991</v>
          </cell>
          <cell r="H2">
            <v>0.40262361251261353</v>
          </cell>
          <cell r="I2">
            <v>0.16649848637739656</v>
          </cell>
          <cell r="J2">
            <v>0.43087790110998991</v>
          </cell>
        </row>
      </sheetData>
      <sheetData sheetId="27">
        <row r="2">
          <cell r="D2">
            <v>0.36577777777777759</v>
          </cell>
          <cell r="E2">
            <v>509</v>
          </cell>
          <cell r="F2">
            <v>234</v>
          </cell>
          <cell r="G2">
            <v>1215</v>
          </cell>
          <cell r="H2">
            <v>0.4189300411522634</v>
          </cell>
          <cell r="I2">
            <v>0.19259259259259259</v>
          </cell>
          <cell r="J2">
            <v>0.38847736625514395</v>
          </cell>
        </row>
      </sheetData>
      <sheetData sheetId="28">
        <row r="2">
          <cell r="D2">
            <v>0.50292101341281636</v>
          </cell>
          <cell r="E2">
            <v>313</v>
          </cell>
          <cell r="F2">
            <v>92</v>
          </cell>
          <cell r="G2">
            <v>671</v>
          </cell>
          <cell r="H2">
            <v>0.46646795827123694</v>
          </cell>
          <cell r="I2">
            <v>0.13710879284649777</v>
          </cell>
          <cell r="J2">
            <v>0.39642324888226532</v>
          </cell>
        </row>
      </sheetData>
      <sheetData sheetId="29">
        <row r="2">
          <cell r="D2">
            <v>0.49611982881597733</v>
          </cell>
          <cell r="E2">
            <v>301</v>
          </cell>
          <cell r="F2">
            <v>110</v>
          </cell>
          <cell r="G2">
            <v>701</v>
          </cell>
          <cell r="H2">
            <v>0.42938659058487877</v>
          </cell>
          <cell r="I2">
            <v>0.15691868758915833</v>
          </cell>
          <cell r="J2">
            <v>0.4136947218259629</v>
          </cell>
        </row>
      </sheetData>
      <sheetData sheetId="30">
        <row r="2">
          <cell r="D2">
            <v>0.44945172824791407</v>
          </cell>
          <cell r="E2">
            <v>734</v>
          </cell>
          <cell r="F2">
            <v>281</v>
          </cell>
          <cell r="G2">
            <v>1678</v>
          </cell>
          <cell r="H2">
            <v>0.43742550655542312</v>
          </cell>
          <cell r="I2">
            <v>0.16746126340882003</v>
          </cell>
          <cell r="J2">
            <v>0.39511323003575682</v>
          </cell>
        </row>
      </sheetData>
      <sheetData sheetId="31">
        <row r="2">
          <cell r="D2">
            <v>0.68398945518453436</v>
          </cell>
          <cell r="E2">
            <v>253</v>
          </cell>
          <cell r="F2">
            <v>50</v>
          </cell>
          <cell r="G2">
            <v>569</v>
          </cell>
          <cell r="H2">
            <v>0.44463971880492092</v>
          </cell>
          <cell r="I2">
            <v>8.7873462214411252E-2</v>
          </cell>
          <cell r="J2">
            <v>0.4674868189806678</v>
          </cell>
        </row>
      </sheetData>
      <sheetData sheetId="32">
        <row r="2">
          <cell r="D2">
            <v>0.47162447257383999</v>
          </cell>
          <cell r="E2">
            <v>1248</v>
          </cell>
          <cell r="F2">
            <v>469</v>
          </cell>
          <cell r="G2">
            <v>2844</v>
          </cell>
          <cell r="H2">
            <v>0.43881856540084391</v>
          </cell>
          <cell r="I2">
            <v>0.16490857946554149</v>
          </cell>
          <cell r="J2">
            <v>0.39627285513361454</v>
          </cell>
        </row>
      </sheetData>
      <sheetData sheetId="33">
        <row r="2">
          <cell r="D2">
            <v>0.52307647740440322</v>
          </cell>
          <cell r="E2">
            <v>1570</v>
          </cell>
          <cell r="F2">
            <v>537</v>
          </cell>
          <cell r="G2">
            <v>3452</v>
          </cell>
          <cell r="H2">
            <v>0.45480880648899191</v>
          </cell>
          <cell r="I2">
            <v>0.1555619930475087</v>
          </cell>
          <cell r="J2">
            <v>0.38962920046349936</v>
          </cell>
        </row>
      </sheetData>
      <sheetData sheetId="34">
        <row r="2">
          <cell r="D2">
            <v>0.49131495227995775</v>
          </cell>
          <cell r="E2">
            <v>1273</v>
          </cell>
          <cell r="F2">
            <v>500</v>
          </cell>
          <cell r="G2">
            <v>2829</v>
          </cell>
          <cell r="H2">
            <v>0.44998232591021564</v>
          </cell>
          <cell r="I2">
            <v>0.17674089784376104</v>
          </cell>
          <cell r="J2">
            <v>0.37327677624602329</v>
          </cell>
        </row>
      </sheetData>
      <sheetData sheetId="35">
        <row r="2">
          <cell r="D2">
            <v>0.38269109286165492</v>
          </cell>
          <cell r="E2">
            <v>639</v>
          </cell>
          <cell r="F2">
            <v>285</v>
          </cell>
          <cell r="G2">
            <v>1583</v>
          </cell>
          <cell r="H2">
            <v>0.40366392924826278</v>
          </cell>
          <cell r="I2">
            <v>0.18003790271636133</v>
          </cell>
          <cell r="J2">
            <v>0.41629816803537589</v>
          </cell>
        </row>
      </sheetData>
      <sheetData sheetId="36"/>
      <sheetData sheetId="37">
        <row r="2">
          <cell r="D2">
            <v>0.45911999999999992</v>
          </cell>
          <cell r="E2">
            <v>261</v>
          </cell>
          <cell r="F2">
            <v>86</v>
          </cell>
          <cell r="G2">
            <v>625</v>
          </cell>
          <cell r="H2">
            <v>0.41760000000000003</v>
          </cell>
          <cell r="I2">
            <v>0.1376</v>
          </cell>
          <cell r="J2">
            <v>0.44479999999999997</v>
          </cell>
        </row>
      </sheetData>
      <sheetData sheetId="38">
        <row r="2">
          <cell r="D2">
            <v>0.41977596741344209</v>
          </cell>
          <cell r="E2">
            <v>198</v>
          </cell>
          <cell r="F2">
            <v>92</v>
          </cell>
          <cell r="G2">
            <v>491</v>
          </cell>
          <cell r="H2">
            <v>0.40325865580448067</v>
          </cell>
          <cell r="I2">
            <v>0.18737270875763748</v>
          </cell>
          <cell r="J2">
            <v>0.40936863543788182</v>
          </cell>
        </row>
      </sheetData>
      <sheetData sheetId="39">
        <row r="2">
          <cell r="D2">
            <v>0.52053017944535052</v>
          </cell>
          <cell r="E2">
            <v>546</v>
          </cell>
          <cell r="F2">
            <v>201</v>
          </cell>
          <cell r="G2">
            <v>1226</v>
          </cell>
          <cell r="H2">
            <v>0.44535073409461662</v>
          </cell>
          <cell r="I2">
            <v>0.16394779771615009</v>
          </cell>
          <cell r="J2">
            <v>0.39070146818923335</v>
          </cell>
        </row>
      </sheetData>
      <sheetData sheetId="40">
        <row r="2">
          <cell r="D2">
            <v>0.51117948717948725</v>
          </cell>
          <cell r="E2">
            <v>249</v>
          </cell>
          <cell r="F2">
            <v>77</v>
          </cell>
          <cell r="G2">
            <v>585</v>
          </cell>
          <cell r="H2">
            <v>0.42564102564102563</v>
          </cell>
          <cell r="I2">
            <v>0.13162393162393163</v>
          </cell>
          <cell r="J2">
            <v>0.44273504273504272</v>
          </cell>
        </row>
      </sheetData>
      <sheetData sheetId="41">
        <row r="2">
          <cell r="D2">
            <v>0.71016786570743373</v>
          </cell>
          <cell r="E2">
            <v>221</v>
          </cell>
          <cell r="F2">
            <v>39</v>
          </cell>
          <cell r="G2">
            <v>417</v>
          </cell>
          <cell r="H2">
            <v>0.52997601918465231</v>
          </cell>
          <cell r="I2">
            <v>9.3525179856115109E-2</v>
          </cell>
          <cell r="J2">
            <v>0.3764988009592326</v>
          </cell>
        </row>
      </sheetData>
      <sheetData sheetId="42">
        <row r="2">
          <cell r="D2">
            <v>-3.020408163265307E-2</v>
          </cell>
          <cell r="E2">
            <v>12</v>
          </cell>
          <cell r="F2">
            <v>11</v>
          </cell>
          <cell r="G2">
            <v>49</v>
          </cell>
          <cell r="H2">
            <v>0.24489795918367346</v>
          </cell>
          <cell r="I2">
            <v>0.22448979591836735</v>
          </cell>
          <cell r="J2">
            <v>0.53061224489795922</v>
          </cell>
        </row>
      </sheetData>
      <sheetData sheetId="43">
        <row r="2">
          <cell r="D2">
            <v>0.2906353161009031</v>
          </cell>
          <cell r="E2">
            <v>1239</v>
          </cell>
          <cell r="F2">
            <v>719</v>
          </cell>
          <cell r="G2">
            <v>3211</v>
          </cell>
          <cell r="H2">
            <v>0.38586110246029276</v>
          </cell>
          <cell r="I2">
            <v>0.22391778262223605</v>
          </cell>
          <cell r="J2">
            <v>0.39022111491747125</v>
          </cell>
        </row>
      </sheetData>
      <sheetData sheetId="44">
        <row r="2">
          <cell r="D2">
            <v>0.45085501858736071</v>
          </cell>
          <cell r="E2">
            <v>798</v>
          </cell>
          <cell r="F2">
            <v>333</v>
          </cell>
          <cell r="G2">
            <v>1883</v>
          </cell>
          <cell r="H2">
            <v>0.42379182156133827</v>
          </cell>
          <cell r="I2">
            <v>0.17684545937334042</v>
          </cell>
          <cell r="J2">
            <v>0.39936271906532128</v>
          </cell>
        </row>
      </sheetData>
      <sheetData sheetId="45">
        <row r="2">
          <cell r="D2">
            <v>0.62375059495478324</v>
          </cell>
          <cell r="E2">
            <v>1022</v>
          </cell>
          <cell r="F2">
            <v>274</v>
          </cell>
          <cell r="G2">
            <v>2101</v>
          </cell>
          <cell r="H2">
            <v>0.48643503093764873</v>
          </cell>
          <cell r="I2">
            <v>0.13041408852927178</v>
          </cell>
          <cell r="J2">
            <v>0.38315088053307944</v>
          </cell>
        </row>
      </sheetData>
      <sheetData sheetId="46">
        <row r="2">
          <cell r="D2">
            <v>0.73740654205607492</v>
          </cell>
          <cell r="E2">
            <v>669</v>
          </cell>
          <cell r="F2">
            <v>164</v>
          </cell>
          <cell r="G2">
            <v>1284</v>
          </cell>
          <cell r="H2">
            <v>0.5210280373831776</v>
          </cell>
          <cell r="I2">
            <v>0.1277258566978193</v>
          </cell>
          <cell r="J2">
            <v>0.35124610591900307</v>
          </cell>
        </row>
      </sheetData>
      <sheetData sheetId="47">
        <row r="2">
          <cell r="D2">
            <v>0.45360746078846936</v>
          </cell>
          <cell r="E2">
            <v>1053</v>
          </cell>
          <cell r="F2">
            <v>437</v>
          </cell>
          <cell r="G2">
            <v>2359</v>
          </cell>
          <cell r="H2">
            <v>0.44637558287409917</v>
          </cell>
          <cell r="I2">
            <v>0.18524798643493007</v>
          </cell>
          <cell r="J2">
            <v>0.3683764306909707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ast Carolina University"/>
      <sheetName val="California State U Fresno"/>
      <sheetName val="LouisianaTech"/>
      <sheetName val="University of Montana"/>
      <sheetName val="Montana State"/>
      <sheetName val="Northern Illinois University"/>
      <sheetName val="New Mexico State University"/>
      <sheetName val="Old Dominion University"/>
      <sheetName val="Southern Illinois U Carbondale"/>
      <sheetName val="U of Southern Missi"/>
      <sheetName val="Tennessee Tech University"/>
      <sheetName val="University of Alaska Fairbanks"/>
      <sheetName val="UMassBoston"/>
      <sheetName val="umassd"/>
      <sheetName val="UofMissouri kansas City"/>
      <sheetName val="UofMiss Stlouis"/>
      <sheetName val="Unvieristy of North Car Greensb"/>
      <sheetName val="Utah State University"/>
    </sheetNames>
    <sheetDataSet>
      <sheetData sheetId="0">
        <row r="2">
          <cell r="D2">
            <v>0.56331842212281424</v>
          </cell>
          <cell r="E2">
            <v>1141</v>
          </cell>
          <cell r="F2">
            <v>386</v>
          </cell>
          <cell r="G2">
            <v>2459</v>
          </cell>
          <cell r="H2">
            <v>0.46400976006506711</v>
          </cell>
          <cell r="I2">
            <v>0.15697437982919887</v>
          </cell>
          <cell r="J2">
            <v>0.37901586010573407</v>
          </cell>
        </row>
      </sheetData>
      <sheetData sheetId="1">
        <row r="2">
          <cell r="D2">
            <v>0.57177811550152002</v>
          </cell>
          <cell r="E2">
            <v>299</v>
          </cell>
          <cell r="F2">
            <v>91</v>
          </cell>
          <cell r="G2">
            <v>658</v>
          </cell>
          <cell r="H2">
            <v>0.45440729483282677</v>
          </cell>
          <cell r="I2">
            <v>0.13829787234042554</v>
          </cell>
          <cell r="J2">
            <v>0.40729483282674772</v>
          </cell>
        </row>
      </sheetData>
      <sheetData sheetId="2">
        <row r="2">
          <cell r="D2">
            <v>0.41973451327433642</v>
          </cell>
          <cell r="E2">
            <v>210</v>
          </cell>
          <cell r="F2">
            <v>87</v>
          </cell>
          <cell r="G2">
            <v>565</v>
          </cell>
          <cell r="H2">
            <v>0.37168141592920356</v>
          </cell>
          <cell r="I2">
            <v>0.15398230088495576</v>
          </cell>
          <cell r="J2">
            <v>0.47433628318584065</v>
          </cell>
        </row>
      </sheetData>
      <sheetData sheetId="3">
        <row r="2">
          <cell r="D2">
            <v>0.72952979934111906</v>
          </cell>
          <cell r="E2">
            <v>1686</v>
          </cell>
          <cell r="F2">
            <v>540</v>
          </cell>
          <cell r="G2">
            <v>3339</v>
          </cell>
          <cell r="H2">
            <v>0.50494159928122195</v>
          </cell>
          <cell r="I2">
            <v>0.16172506738544473</v>
          </cell>
          <cell r="J2">
            <v>0.33333333333333326</v>
          </cell>
        </row>
      </sheetData>
      <sheetData sheetId="4">
        <row r="2">
          <cell r="D2">
            <v>0.72050290135396544</v>
          </cell>
          <cell r="E2">
            <v>262</v>
          </cell>
          <cell r="F2">
            <v>48</v>
          </cell>
          <cell r="G2">
            <v>517</v>
          </cell>
          <cell r="H2">
            <v>0.50676982591876207</v>
          </cell>
          <cell r="I2">
            <v>9.2843326885880081E-2</v>
          </cell>
          <cell r="J2">
            <v>0.40038684719535789</v>
          </cell>
        </row>
      </sheetData>
      <sheetData sheetId="5">
        <row r="2">
          <cell r="D2">
            <v>0.46154158215010149</v>
          </cell>
          <cell r="E2">
            <v>1245</v>
          </cell>
          <cell r="F2">
            <v>527</v>
          </cell>
          <cell r="G2">
            <v>2958</v>
          </cell>
          <cell r="H2">
            <v>0.4208924949290061</v>
          </cell>
          <cell r="I2">
            <v>0.17816091954022989</v>
          </cell>
          <cell r="J2">
            <v>0.40094658553076401</v>
          </cell>
        </row>
      </sheetData>
      <sheetData sheetId="6">
        <row r="2">
          <cell r="D2">
            <v>0.57334975369458119</v>
          </cell>
          <cell r="E2">
            <v>89</v>
          </cell>
          <cell r="F2">
            <v>22</v>
          </cell>
          <cell r="G2">
            <v>203</v>
          </cell>
          <cell r="H2">
            <v>0.43842364532019706</v>
          </cell>
          <cell r="I2">
            <v>0.10837438423645321</v>
          </cell>
          <cell r="J2">
            <v>0.45320197044334976</v>
          </cell>
        </row>
      </sheetData>
      <sheetData sheetId="7">
        <row r="2">
          <cell r="D2">
            <v>0.38864143920595517</v>
          </cell>
          <cell r="E2">
            <v>627</v>
          </cell>
          <cell r="F2">
            <v>284</v>
          </cell>
          <cell r="G2">
            <v>1612</v>
          </cell>
          <cell r="H2">
            <v>0.38895781637717119</v>
          </cell>
          <cell r="I2">
            <v>0.17617866004962779</v>
          </cell>
          <cell r="J2">
            <v>0.43486352357320102</v>
          </cell>
        </row>
      </sheetData>
      <sheetData sheetId="8">
        <row r="2">
          <cell r="D2">
            <v>0.52276679841897244</v>
          </cell>
          <cell r="E2">
            <v>230</v>
          </cell>
          <cell r="F2">
            <v>81</v>
          </cell>
          <cell r="G2">
            <v>506</v>
          </cell>
          <cell r="H2">
            <v>0.45454545454545453</v>
          </cell>
          <cell r="I2">
            <v>0.1600790513833992</v>
          </cell>
          <cell r="J2">
            <v>0.38537549407114624</v>
          </cell>
        </row>
      </sheetData>
      <sheetData sheetId="9">
        <row r="2">
          <cell r="D2">
            <v>5.7125000000000002E-2</v>
          </cell>
          <cell r="E2">
            <v>96</v>
          </cell>
          <cell r="F2">
            <v>88</v>
          </cell>
          <cell r="G2">
            <v>320</v>
          </cell>
          <cell r="H2">
            <v>0.3</v>
          </cell>
          <cell r="I2">
            <v>0.27500000000000002</v>
          </cell>
          <cell r="J2">
            <v>0.42500000000000004</v>
          </cell>
        </row>
      </sheetData>
      <sheetData sheetId="10">
        <row r="2">
          <cell r="D2">
            <v>0.53428756476683914</v>
          </cell>
          <cell r="E2">
            <v>314</v>
          </cell>
          <cell r="F2">
            <v>115</v>
          </cell>
          <cell r="G2">
            <v>772</v>
          </cell>
          <cell r="H2">
            <v>0.40673575129533679</v>
          </cell>
          <cell r="I2">
            <v>0.14896373056994819</v>
          </cell>
          <cell r="J2">
            <v>0.44430051813471505</v>
          </cell>
        </row>
      </sheetData>
      <sheetData sheetId="11">
        <row r="2">
          <cell r="D2">
            <v>0.65730650154798742</v>
          </cell>
          <cell r="E2">
            <v>164</v>
          </cell>
          <cell r="F2">
            <v>37</v>
          </cell>
          <cell r="G2">
            <v>323</v>
          </cell>
          <cell r="H2">
            <v>0.50773993808049533</v>
          </cell>
          <cell r="I2">
            <v>0.11455108359133127</v>
          </cell>
          <cell r="J2">
            <v>0.37770897832817341</v>
          </cell>
        </row>
      </sheetData>
      <sheetData sheetId="12">
        <row r="2">
          <cell r="D2">
            <v>0.30566176470588236</v>
          </cell>
          <cell r="E2">
            <v>44</v>
          </cell>
          <cell r="F2">
            <v>27</v>
          </cell>
          <cell r="G2">
            <v>136</v>
          </cell>
          <cell r="H2">
            <v>0.3235294117647059</v>
          </cell>
          <cell r="I2">
            <v>0.19852941176470587</v>
          </cell>
          <cell r="J2">
            <v>0.4779411764705882</v>
          </cell>
        </row>
      </sheetData>
      <sheetData sheetId="13">
        <row r="2">
          <cell r="D2">
            <v>0.1137668161434978</v>
          </cell>
          <cell r="E2">
            <v>76</v>
          </cell>
          <cell r="F2">
            <v>39</v>
          </cell>
          <cell r="G2">
            <v>223</v>
          </cell>
          <cell r="H2">
            <v>0.34080717488789236</v>
          </cell>
          <cell r="I2">
            <v>0.17488789237668162</v>
          </cell>
          <cell r="J2">
            <v>0.48430493273542607</v>
          </cell>
        </row>
      </sheetData>
      <sheetData sheetId="14">
        <row r="2">
          <cell r="D2">
            <v>0.4822594142259416</v>
          </cell>
          <cell r="E2">
            <v>209</v>
          </cell>
          <cell r="F2">
            <v>79</v>
          </cell>
          <cell r="G2">
            <v>478</v>
          </cell>
          <cell r="H2">
            <v>0.43723849372384938</v>
          </cell>
          <cell r="I2">
            <v>0.16527196652719664</v>
          </cell>
          <cell r="J2">
            <v>0.39748953974895396</v>
          </cell>
        </row>
      </sheetData>
      <sheetData sheetId="15">
        <row r="2">
          <cell r="D2">
            <v>0.39214552238805972</v>
          </cell>
          <cell r="E2">
            <v>214</v>
          </cell>
          <cell r="F2">
            <v>102</v>
          </cell>
          <cell r="G2">
            <v>536</v>
          </cell>
          <cell r="H2">
            <v>0.39925373134328357</v>
          </cell>
          <cell r="I2">
            <v>0.19029850746268656</v>
          </cell>
          <cell r="J2">
            <v>0.41044776119402981</v>
          </cell>
        </row>
      </sheetData>
      <sheetData sheetId="16">
        <row r="2">
          <cell r="D2">
            <v>0.59956889264581548</v>
          </cell>
          <cell r="E2">
            <v>540</v>
          </cell>
          <cell r="F2">
            <v>144</v>
          </cell>
          <cell r="G2">
            <v>1183</v>
          </cell>
          <cell r="H2">
            <v>0.45646661031276414</v>
          </cell>
          <cell r="I2">
            <v>0.12172442941673711</v>
          </cell>
          <cell r="J2">
            <v>0.42180896027049875</v>
          </cell>
        </row>
      </sheetData>
      <sheetData sheetId="17">
        <row r="2">
          <cell r="D2">
            <v>0.45978755690440087</v>
          </cell>
          <cell r="E2">
            <v>295</v>
          </cell>
          <cell r="F2">
            <v>115</v>
          </cell>
          <cell r="G2">
            <v>659</v>
          </cell>
          <cell r="H2">
            <v>0.44764795144157815</v>
          </cell>
          <cell r="I2">
            <v>0.17450682852807284</v>
          </cell>
          <cell r="J2">
            <v>0.37784522003034904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rown University"/>
      <sheetName val="Columbia University"/>
      <sheetName val="Harvard University"/>
      <sheetName val="Cornell University"/>
      <sheetName val="Dartmouth"/>
      <sheetName val="Princton University"/>
      <sheetName val="Yale Unvieristy"/>
      <sheetName val="University of Pennsylvania"/>
    </sheetNames>
    <sheetDataSet>
      <sheetData sheetId="0">
        <row r="2">
          <cell r="D2">
            <v>0.60377294549562288</v>
          </cell>
          <cell r="E2">
            <v>1699</v>
          </cell>
          <cell r="F2">
            <v>496</v>
          </cell>
          <cell r="G2">
            <v>3541</v>
          </cell>
          <cell r="H2">
            <v>0.47980796385201918</v>
          </cell>
          <cell r="I2">
            <v>0.14007342558599264</v>
          </cell>
          <cell r="J2">
            <v>0.38011861056198815</v>
          </cell>
        </row>
      </sheetData>
      <sheetData sheetId="1">
        <row r="2">
          <cell r="D2">
            <v>0.5299338758901323</v>
          </cell>
          <cell r="E2">
            <v>1854</v>
          </cell>
          <cell r="F2">
            <v>578</v>
          </cell>
          <cell r="G2">
            <v>3932</v>
          </cell>
          <cell r="H2">
            <v>0.47151576805696849</v>
          </cell>
          <cell r="I2">
            <v>0.14699898270600203</v>
          </cell>
          <cell r="J2">
            <v>0.38148524923702953</v>
          </cell>
        </row>
      </sheetData>
      <sheetData sheetId="2">
        <row r="2">
          <cell r="D2">
            <v>0.59543355855855873</v>
          </cell>
          <cell r="E2">
            <v>1690</v>
          </cell>
          <cell r="F2">
            <v>495</v>
          </cell>
          <cell r="G2">
            <v>3552</v>
          </cell>
          <cell r="H2">
            <v>0.47578828828828829</v>
          </cell>
          <cell r="I2">
            <v>0.13935810810810811</v>
          </cell>
          <cell r="J2">
            <v>0.38485360360360366</v>
          </cell>
        </row>
      </sheetData>
      <sheetData sheetId="3">
        <row r="2">
          <cell r="D2">
            <v>0.44614236261358725</v>
          </cell>
          <cell r="E2">
            <v>2049</v>
          </cell>
          <cell r="F2">
            <v>805</v>
          </cell>
          <cell r="G2">
            <v>4622</v>
          </cell>
          <cell r="H2">
            <v>0.44331458243184768</v>
          </cell>
          <cell r="I2">
            <v>0.17416702726092601</v>
          </cell>
          <cell r="J2">
            <v>0.38251839030722634</v>
          </cell>
        </row>
      </sheetData>
      <sheetData sheetId="4">
        <row r="2">
          <cell r="D2">
            <v>0.69186288088642689</v>
          </cell>
          <cell r="E2">
            <v>745</v>
          </cell>
          <cell r="F2">
            <v>173</v>
          </cell>
          <cell r="G2">
            <v>1444</v>
          </cell>
          <cell r="H2">
            <v>0.51592797783933519</v>
          </cell>
          <cell r="I2">
            <v>0.11980609418282548</v>
          </cell>
          <cell r="J2">
            <v>0.3642659279778393</v>
          </cell>
        </row>
      </sheetData>
      <sheetData sheetId="5">
        <row r="2">
          <cell r="D2">
            <v>0.55331513260530418</v>
          </cell>
          <cell r="E2">
            <v>1098</v>
          </cell>
          <cell r="F2">
            <v>322</v>
          </cell>
          <cell r="G2">
            <v>2564</v>
          </cell>
          <cell r="H2">
            <v>0.42823712948517939</v>
          </cell>
          <cell r="I2">
            <v>0.12558502340093602</v>
          </cell>
          <cell r="J2">
            <v>0.44617784711388464</v>
          </cell>
        </row>
      </sheetData>
      <sheetData sheetId="6">
        <row r="2">
          <cell r="D2">
            <v>0.54153203342618472</v>
          </cell>
          <cell r="E2">
            <v>1492</v>
          </cell>
          <cell r="F2">
            <v>518</v>
          </cell>
          <cell r="G2">
            <v>3231</v>
          </cell>
          <cell r="H2">
            <v>0.46177653977096872</v>
          </cell>
          <cell r="I2">
            <v>0.16032188177034973</v>
          </cell>
          <cell r="J2">
            <v>0.37790157845868155</v>
          </cell>
        </row>
      </sheetData>
      <sheetData sheetId="7">
        <row r="2">
          <cell r="D2">
            <v>0.59360805860805843</v>
          </cell>
          <cell r="E2">
            <v>1859</v>
          </cell>
          <cell r="F2">
            <v>463</v>
          </cell>
          <cell r="G2">
            <v>3822</v>
          </cell>
          <cell r="H2">
            <v>0.48639455782312924</v>
          </cell>
          <cell r="I2">
            <v>0.12114076399790685</v>
          </cell>
          <cell r="J2">
            <v>0.39246467817896391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ston University"/>
      <sheetName val="University of Alabama"/>
      <sheetName val="Carnegie Mellon University"/>
      <sheetName val="Cali State Uni Fullerton"/>
      <sheetName val="CSULB"/>
      <sheetName val="CUBoulder"/>
      <sheetName val="Drexel University"/>
      <sheetName val="FIU"/>
      <sheetName val="FSU"/>
      <sheetName val="GATech"/>
      <sheetName val="Iowa State U"/>
      <sheetName val="Indiana State"/>
      <sheetName val="MIT"/>
      <sheetName val="Michigan State University"/>
      <sheetName val="Northeastern University "/>
      <sheetName val="NYU"/>
      <sheetName val="OSU"/>
      <sheetName val="PSU"/>
      <sheetName val="Pitt"/>
      <sheetName val="Purdue University"/>
      <sheetName val="Rutgers University"/>
      <sheetName val="University of Oklahoma"/>
      <sheetName val="Stanford University"/>
      <sheetName val="Texas State University"/>
      <sheetName val="University of Central Florida"/>
      <sheetName val="University of Washington"/>
      <sheetName val="UIUC"/>
      <sheetName val="UMD"/>
      <sheetName val="University of Hawaii"/>
      <sheetName val="University of Arizona"/>
      <sheetName val="University of Minnesota"/>
      <sheetName val="USC"/>
    </sheetNames>
    <sheetDataSet>
      <sheetData sheetId="0">
        <row r="2">
          <cell r="D2">
            <v>0.5351440922190196</v>
          </cell>
          <cell r="E2">
            <v>1950</v>
          </cell>
          <cell r="F2">
            <v>628</v>
          </cell>
          <cell r="G2">
            <v>4164</v>
          </cell>
          <cell r="H2">
            <v>0.46829971181556196</v>
          </cell>
          <cell r="I2">
            <v>0.15081652257444764</v>
          </cell>
          <cell r="J2">
            <v>0.38088376560999038</v>
          </cell>
        </row>
      </sheetData>
      <sheetData sheetId="1">
        <row r="2">
          <cell r="D2">
            <v>0.51056666666666817</v>
          </cell>
          <cell r="E2">
            <v>2026</v>
          </cell>
          <cell r="F2">
            <v>740</v>
          </cell>
          <cell r="G2">
            <v>4500</v>
          </cell>
          <cell r="H2">
            <v>0.45022222222222225</v>
          </cell>
          <cell r="I2">
            <v>0.16444444444444445</v>
          </cell>
          <cell r="J2">
            <v>0.38533333333333331</v>
          </cell>
        </row>
      </sheetData>
      <sheetData sheetId="2">
        <row r="2">
          <cell r="D2">
            <v>0.61005027422303471</v>
          </cell>
          <cell r="E2">
            <v>2172</v>
          </cell>
          <cell r="F2">
            <v>581</v>
          </cell>
          <cell r="G2">
            <v>4376</v>
          </cell>
          <cell r="H2">
            <v>0.49634369287020108</v>
          </cell>
          <cell r="I2">
            <v>0.13276965265082266</v>
          </cell>
          <cell r="J2">
            <v>0.37088665447897629</v>
          </cell>
        </row>
      </sheetData>
      <sheetData sheetId="3"/>
      <sheetData sheetId="4"/>
      <sheetData sheetId="5">
        <row r="2">
          <cell r="D2">
            <v>0.49199956952216889</v>
          </cell>
          <cell r="E2">
            <v>2145</v>
          </cell>
          <cell r="F2">
            <v>797</v>
          </cell>
          <cell r="G2">
            <v>4646</v>
          </cell>
          <cell r="H2">
            <v>0.46168747309513558</v>
          </cell>
          <cell r="I2">
            <v>0.17154541541110632</v>
          </cell>
          <cell r="J2">
            <v>0.36676711149375807</v>
          </cell>
        </row>
      </sheetData>
      <sheetData sheetId="6">
        <row r="2">
          <cell r="D2">
            <v>0.42025035619784323</v>
          </cell>
          <cell r="E2">
            <v>2076</v>
          </cell>
          <cell r="F2">
            <v>826</v>
          </cell>
          <cell r="G2">
            <v>4913</v>
          </cell>
          <cell r="H2">
            <v>0.4225524119682475</v>
          </cell>
          <cell r="I2">
            <v>0.1681253816405455</v>
          </cell>
          <cell r="J2">
            <v>0.40932220639120698</v>
          </cell>
        </row>
      </sheetData>
      <sheetData sheetId="7">
        <row r="2">
          <cell r="D2">
            <v>0.366862123613312</v>
          </cell>
          <cell r="E2">
            <v>1494</v>
          </cell>
          <cell r="F2">
            <v>643</v>
          </cell>
          <cell r="G2">
            <v>3786</v>
          </cell>
          <cell r="H2">
            <v>0.39461172741679873</v>
          </cell>
          <cell r="I2">
            <v>0.16983623877443213</v>
          </cell>
          <cell r="J2">
            <v>0.43555203380876917</v>
          </cell>
        </row>
      </sheetData>
      <sheetData sheetId="8">
        <row r="2">
          <cell r="D2">
            <v>0.5849292035398227</v>
          </cell>
          <cell r="E2">
            <v>2111</v>
          </cell>
          <cell r="F2">
            <v>688</v>
          </cell>
          <cell r="G2">
            <v>4520</v>
          </cell>
          <cell r="H2">
            <v>0.46703539823008849</v>
          </cell>
          <cell r="I2">
            <v>0.15221238938053097</v>
          </cell>
          <cell r="J2">
            <v>0.38075221238938051</v>
          </cell>
        </row>
      </sheetData>
      <sheetData sheetId="9">
        <row r="2">
          <cell r="D2">
            <v>0.37779764323445791</v>
          </cell>
          <cell r="E2">
            <v>1956</v>
          </cell>
          <cell r="F2">
            <v>844</v>
          </cell>
          <cell r="G2">
            <v>4922</v>
          </cell>
          <cell r="H2">
            <v>0.3973994311255587</v>
          </cell>
          <cell r="I2">
            <v>0.17147501015847216</v>
          </cell>
          <cell r="J2">
            <v>0.43112555871596914</v>
          </cell>
        </row>
      </sheetData>
      <sheetData sheetId="10">
        <row r="2">
          <cell r="D2">
            <v>0.38329954283442658</v>
          </cell>
          <cell r="E2">
            <v>1979</v>
          </cell>
          <cell r="F2">
            <v>857</v>
          </cell>
          <cell r="G2">
            <v>5031</v>
          </cell>
          <cell r="H2">
            <v>0.39336116080302125</v>
          </cell>
          <cell r="I2">
            <v>0.17034386801828663</v>
          </cell>
          <cell r="J2">
            <v>0.43629497117869209</v>
          </cell>
        </row>
      </sheetData>
      <sheetData sheetId="11"/>
      <sheetData sheetId="12">
        <row r="2">
          <cell r="D2">
            <v>0.519843637238393</v>
          </cell>
          <cell r="E2">
            <v>1923</v>
          </cell>
          <cell r="F2">
            <v>593</v>
          </cell>
          <cell r="G2">
            <v>4157</v>
          </cell>
          <cell r="H2">
            <v>0.46259321626172722</v>
          </cell>
          <cell r="I2">
            <v>0.14265095020447438</v>
          </cell>
          <cell r="J2">
            <v>0.39475583353379839</v>
          </cell>
        </row>
      </sheetData>
      <sheetData sheetId="13">
        <row r="2">
          <cell r="D2">
            <v>0.41646248085758042</v>
          </cell>
          <cell r="E2">
            <v>1975</v>
          </cell>
          <cell r="F2">
            <v>854</v>
          </cell>
          <cell r="G2">
            <v>4571</v>
          </cell>
          <cell r="H2">
            <v>0.43207175672719317</v>
          </cell>
          <cell r="I2">
            <v>0.18683001531393567</v>
          </cell>
          <cell r="J2">
            <v>0.38109822795887116</v>
          </cell>
        </row>
      </sheetData>
      <sheetData sheetId="14">
        <row r="2">
          <cell r="D2">
            <v>0.41671208791208758</v>
          </cell>
          <cell r="E2">
            <v>1860</v>
          </cell>
          <cell r="F2">
            <v>726</v>
          </cell>
          <cell r="G2">
            <v>4550</v>
          </cell>
          <cell r="H2">
            <v>0.40879120879120878</v>
          </cell>
          <cell r="I2">
            <v>0.15956043956043955</v>
          </cell>
          <cell r="J2">
            <v>0.43164835164835169</v>
          </cell>
        </row>
      </sheetData>
      <sheetData sheetId="15">
        <row r="2">
          <cell r="D2">
            <v>0.51576193058568343</v>
          </cell>
          <cell r="E2">
            <v>1638</v>
          </cell>
          <cell r="F2">
            <v>501</v>
          </cell>
          <cell r="G2">
            <v>3688</v>
          </cell>
          <cell r="H2">
            <v>0.44414316702819956</v>
          </cell>
          <cell r="I2">
            <v>0.13584598698481562</v>
          </cell>
          <cell r="J2">
            <v>0.42001084598698479</v>
          </cell>
        </row>
      </sheetData>
      <sheetData sheetId="16"/>
      <sheetData sheetId="17">
        <row r="2">
          <cell r="D2">
            <v>0.41598164746052063</v>
          </cell>
          <cell r="E2">
            <v>2030</v>
          </cell>
          <cell r="F2">
            <v>873</v>
          </cell>
          <cell r="G2">
            <v>4686</v>
          </cell>
          <cell r="H2">
            <v>0.43320529236022193</v>
          </cell>
          <cell r="I2">
            <v>0.18629961587708066</v>
          </cell>
          <cell r="J2">
            <v>0.38049509176269747</v>
          </cell>
        </row>
      </sheetData>
      <sheetData sheetId="18">
        <row r="2">
          <cell r="D2">
            <v>0.4231083798882686</v>
          </cell>
          <cell r="E2">
            <v>1866</v>
          </cell>
          <cell r="F2">
            <v>807</v>
          </cell>
          <cell r="G2">
            <v>4475</v>
          </cell>
          <cell r="H2">
            <v>0.41698324022346367</v>
          </cell>
          <cell r="I2">
            <v>0.18033519553072624</v>
          </cell>
          <cell r="J2">
            <v>0.40268156424581014</v>
          </cell>
        </row>
      </sheetData>
      <sheetData sheetId="19">
        <row r="2">
          <cell r="D2">
            <v>0.40513944223107601</v>
          </cell>
          <cell r="E2">
            <v>2172</v>
          </cell>
          <cell r="F2">
            <v>942</v>
          </cell>
          <cell r="G2">
            <v>5271</v>
          </cell>
          <cell r="H2">
            <v>0.41206602162777461</v>
          </cell>
          <cell r="I2">
            <v>0.17871371656232213</v>
          </cell>
          <cell r="J2">
            <v>0.40922026180990323</v>
          </cell>
        </row>
      </sheetData>
      <sheetData sheetId="20">
        <row r="2">
          <cell r="D2">
            <v>0.30580409041980644</v>
          </cell>
          <cell r="E2">
            <v>1719</v>
          </cell>
          <cell r="F2">
            <v>908</v>
          </cell>
          <cell r="G2">
            <v>4645</v>
          </cell>
          <cell r="H2">
            <v>0.37007534983853607</v>
          </cell>
          <cell r="I2">
            <v>0.19547900968783638</v>
          </cell>
          <cell r="J2">
            <v>0.43444564047362755</v>
          </cell>
        </row>
      </sheetData>
      <sheetData sheetId="21"/>
      <sheetData sheetId="22">
        <row r="2">
          <cell r="D2">
            <v>0.63195411392405088</v>
          </cell>
          <cell r="E2">
            <v>1874</v>
          </cell>
          <cell r="F2">
            <v>486</v>
          </cell>
          <cell r="G2">
            <v>3792</v>
          </cell>
          <cell r="H2">
            <v>0.49419831223628691</v>
          </cell>
          <cell r="I2">
            <v>0.12816455696202531</v>
          </cell>
          <cell r="J2">
            <v>0.37763713080168781</v>
          </cell>
        </row>
      </sheetData>
      <sheetData sheetId="23"/>
      <sheetData sheetId="24">
        <row r="2">
          <cell r="D2">
            <v>0.42965141612200453</v>
          </cell>
          <cell r="E2">
            <v>1918</v>
          </cell>
          <cell r="F2">
            <v>726</v>
          </cell>
          <cell r="G2">
            <v>4590</v>
          </cell>
          <cell r="H2">
            <v>0.41786492374727668</v>
          </cell>
          <cell r="I2">
            <v>0.15816993464052287</v>
          </cell>
          <cell r="J2">
            <v>0.42396514161220045</v>
          </cell>
        </row>
      </sheetData>
      <sheetData sheetId="25"/>
      <sheetData sheetId="26">
        <row r="2">
          <cell r="D2">
            <v>0.35654046028210801</v>
          </cell>
          <cell r="E2">
            <v>2118</v>
          </cell>
          <cell r="F2">
            <v>934</v>
          </cell>
          <cell r="G2">
            <v>5388</v>
          </cell>
          <cell r="H2">
            <v>0.39309576837416482</v>
          </cell>
          <cell r="I2">
            <v>0.17334818114328138</v>
          </cell>
          <cell r="J2">
            <v>0.43355605048255375</v>
          </cell>
        </row>
      </sheetData>
      <sheetData sheetId="27">
        <row r="2">
          <cell r="D2">
            <v>0.3318082663605057</v>
          </cell>
          <cell r="E2">
            <v>2067</v>
          </cell>
          <cell r="F2">
            <v>963</v>
          </cell>
          <cell r="G2">
            <v>5226</v>
          </cell>
          <cell r="H2">
            <v>0.39552238805970147</v>
          </cell>
          <cell r="I2">
            <v>0.18427095292766935</v>
          </cell>
          <cell r="J2">
            <v>0.42020665901262921</v>
          </cell>
        </row>
      </sheetData>
      <sheetData sheetId="28">
        <row r="2">
          <cell r="D2">
            <v>0.49963755458515324</v>
          </cell>
          <cell r="E2">
            <v>1000</v>
          </cell>
          <cell r="F2">
            <v>348</v>
          </cell>
          <cell r="G2">
            <v>2290</v>
          </cell>
          <cell r="H2">
            <v>0.4366812227074236</v>
          </cell>
          <cell r="I2">
            <v>0.15196506550218342</v>
          </cell>
          <cell r="J2">
            <v>0.41135371179039293</v>
          </cell>
        </row>
      </sheetData>
      <sheetData sheetId="29">
        <row r="2">
          <cell r="D2">
            <v>0.61615783783783828</v>
          </cell>
          <cell r="E2">
            <v>2285</v>
          </cell>
          <cell r="F2">
            <v>653</v>
          </cell>
          <cell r="G2">
            <v>4625</v>
          </cell>
          <cell r="H2">
            <v>0.49405405405405406</v>
          </cell>
          <cell r="I2">
            <v>0.14118918918918918</v>
          </cell>
          <cell r="J2">
            <v>0.36475675675675678</v>
          </cell>
        </row>
      </sheetData>
      <sheetData sheetId="30"/>
      <sheetData sheetId="31">
        <row r="2">
          <cell r="D2">
            <v>0.59392744095446848</v>
          </cell>
          <cell r="E2">
            <v>1941</v>
          </cell>
          <cell r="F2">
            <v>550</v>
          </cell>
          <cell r="G2">
            <v>4107</v>
          </cell>
          <cell r="H2">
            <v>0.47260774287801316</v>
          </cell>
          <cell r="I2">
            <v>0.13391770148526905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230"/>
  <sheetViews>
    <sheetView tabSelected="1" topLeftCell="A43" workbookViewId="0">
      <selection activeCell="J4" sqref="J4"/>
    </sheetView>
  </sheetViews>
  <sheetFormatPr defaultRowHeight="15" x14ac:dyDescent="0.25"/>
  <cols>
    <col min="1" max="1" width="9.140625" style="15"/>
    <col min="3" max="3" width="9.140625" style="10"/>
    <col min="4" max="6" width="9.140625" style="14"/>
    <col min="7" max="9" width="9.140625" style="12"/>
    <col min="10" max="10" width="11.5703125" style="3" bestFit="1" customWidth="1"/>
  </cols>
  <sheetData>
    <row r="1" spans="1:16" ht="60.75" thickBot="1" x14ac:dyDescent="0.3">
      <c r="A1" s="15" t="s">
        <v>0</v>
      </c>
      <c r="B1" t="s">
        <v>1</v>
      </c>
      <c r="C1" s="9" t="s">
        <v>190</v>
      </c>
      <c r="D1" s="13" t="s">
        <v>191</v>
      </c>
      <c r="E1" s="13" t="s">
        <v>192</v>
      </c>
      <c r="F1" s="13" t="s">
        <v>193</v>
      </c>
      <c r="G1" s="11" t="s">
        <v>194</v>
      </c>
      <c r="H1" s="11" t="s">
        <v>195</v>
      </c>
      <c r="I1" s="11" t="s">
        <v>411</v>
      </c>
      <c r="J1" s="3" t="s">
        <v>197</v>
      </c>
      <c r="K1" s="3" t="s">
        <v>2</v>
      </c>
      <c r="L1" t="s">
        <v>189</v>
      </c>
      <c r="M1" s="3" t="s">
        <v>3</v>
      </c>
      <c r="N1" s="3" t="s">
        <v>200</v>
      </c>
      <c r="O1" t="s">
        <v>409</v>
      </c>
      <c r="P1" s="3" t="s">
        <v>410</v>
      </c>
    </row>
    <row r="2" spans="1:16" ht="15.75" thickBot="1" x14ac:dyDescent="0.3">
      <c r="A2" s="15" t="s">
        <v>69</v>
      </c>
      <c r="B2">
        <v>74</v>
      </c>
      <c r="C2" s="10">
        <f>'[4]American Uni'!D2</f>
        <v>0.59696629213483154</v>
      </c>
      <c r="D2" s="14">
        <f>'[4]American Uni'!E2</f>
        <v>302</v>
      </c>
      <c r="E2" s="14">
        <f>'[4]American Uni'!F2</f>
        <v>76</v>
      </c>
      <c r="F2" s="14">
        <f>'[4]American Uni'!G2</f>
        <v>623</v>
      </c>
      <c r="G2" s="12">
        <f>'[4]American Uni'!H2</f>
        <v>0.48475120385232745</v>
      </c>
      <c r="H2" s="12">
        <f>'[4]American Uni'!I2</f>
        <v>0.12199036918138041</v>
      </c>
      <c r="I2" s="12">
        <f>'[4]American Uni'!J2</f>
        <v>0.3932584269662921</v>
      </c>
      <c r="J2" s="3">
        <f>D2/E2</f>
        <v>3.9736842105263159</v>
      </c>
      <c r="K2" s="1">
        <v>44853</v>
      </c>
      <c r="M2" s="2">
        <v>7909</v>
      </c>
      <c r="N2" t="s">
        <v>199</v>
      </c>
      <c r="O2" s="7" t="s">
        <v>328</v>
      </c>
      <c r="P2" t="s">
        <v>329</v>
      </c>
    </row>
    <row r="3" spans="1:16" ht="15.75" thickBot="1" x14ac:dyDescent="0.3">
      <c r="A3" s="15" t="s">
        <v>116</v>
      </c>
      <c r="B3" s="5">
        <v>129</v>
      </c>
      <c r="C3" s="10">
        <f>[3]ASU!D2</f>
        <v>0.408982349095664</v>
      </c>
      <c r="D3" s="14">
        <f>[3]ASU!E2</f>
        <v>1943</v>
      </c>
      <c r="E3" s="14">
        <f>[3]ASU!F2</f>
        <v>790</v>
      </c>
      <c r="F3" s="14">
        <f>[3]ASU!G2</f>
        <v>4589</v>
      </c>
      <c r="G3" s="12">
        <f>[3]ASU!H2</f>
        <v>0.42340379167574638</v>
      </c>
      <c r="H3" s="12">
        <f>[3]ASU!I2</f>
        <v>0.17215079538025713</v>
      </c>
      <c r="I3" s="12">
        <f>[3]ASU!J2</f>
        <v>0.4044454129439965</v>
      </c>
      <c r="J3" s="3">
        <f>D3/E3</f>
        <v>2.4594936708860757</v>
      </c>
      <c r="K3" s="1">
        <v>25458</v>
      </c>
      <c r="L3" s="1">
        <v>10158</v>
      </c>
      <c r="M3" s="2">
        <v>41828</v>
      </c>
      <c r="N3" t="s">
        <v>198</v>
      </c>
      <c r="O3" s="7" t="s">
        <v>391</v>
      </c>
      <c r="P3" t="s">
        <v>354</v>
      </c>
    </row>
    <row r="4" spans="1:16" ht="15.75" thickBot="1" x14ac:dyDescent="0.3">
      <c r="A4" s="15" t="s">
        <v>91</v>
      </c>
      <c r="B4" s="6">
        <v>99</v>
      </c>
      <c r="C4" s="10">
        <f>'[4]Auburn '!D2</f>
        <v>0.42050847457627138</v>
      </c>
      <c r="D4" s="14">
        <f>'[4]Auburn '!E2</f>
        <v>1511</v>
      </c>
      <c r="E4" s="14">
        <f>'[4]Auburn '!F2</f>
        <v>663</v>
      </c>
      <c r="F4" s="14">
        <f>'[4]Auburn '!G2</f>
        <v>3717</v>
      </c>
      <c r="G4" s="12">
        <f>'[4]Auburn '!H2</f>
        <v>0.40651062684960992</v>
      </c>
      <c r="H4" s="12">
        <f>'[4]Auburn '!I2</f>
        <v>0.17836965294592413</v>
      </c>
      <c r="I4" s="12">
        <f>'[4]Auburn '!J2</f>
        <v>0.41511972020446597</v>
      </c>
      <c r="J4" s="3">
        <f>D4/E4</f>
        <v>2.2790346907993966</v>
      </c>
      <c r="K4" s="1">
        <v>28840</v>
      </c>
      <c r="L4" s="1">
        <v>10696</v>
      </c>
      <c r="M4" s="2">
        <v>21786</v>
      </c>
      <c r="N4" t="s">
        <v>198</v>
      </c>
      <c r="O4" s="7" t="s">
        <v>266</v>
      </c>
      <c r="P4" t="s">
        <v>267</v>
      </c>
    </row>
    <row r="5" spans="1:16" ht="15.75" thickBot="1" x14ac:dyDescent="0.3">
      <c r="A5" s="15" t="s">
        <v>154</v>
      </c>
      <c r="B5">
        <v>183</v>
      </c>
      <c r="C5" s="10">
        <f>'[1]Azusa Pacific'!D2</f>
        <v>0.62393442622950823</v>
      </c>
      <c r="D5" s="14">
        <f>'[1]Azusa Pacific'!E2</f>
        <v>27</v>
      </c>
      <c r="E5" s="14">
        <f>'[1]Azusa Pacific'!F2</f>
        <v>5</v>
      </c>
      <c r="F5" s="14">
        <f>'[1]Azusa Pacific'!G2</f>
        <v>61</v>
      </c>
      <c r="G5" s="12">
        <f>'[1]Azusa Pacific'!H2</f>
        <v>0.44262295081967212</v>
      </c>
      <c r="H5" s="12">
        <f>'[1]Azusa Pacific'!I2</f>
        <v>8.1967213114754092E-2</v>
      </c>
      <c r="I5" s="12">
        <f>'[1]Azusa Pacific'!J2</f>
        <v>0.47540983606557374</v>
      </c>
      <c r="J5" s="3">
        <f>D5/E5</f>
        <v>5.4</v>
      </c>
      <c r="K5" s="1">
        <v>36120</v>
      </c>
      <c r="M5" s="2">
        <v>5883</v>
      </c>
      <c r="N5" t="s">
        <v>199</v>
      </c>
      <c r="O5" s="7" t="s">
        <v>358</v>
      </c>
      <c r="P5" t="s">
        <v>210</v>
      </c>
    </row>
    <row r="6" spans="1:16" ht="15.75" thickBot="1" x14ac:dyDescent="0.3">
      <c r="A6" s="15" t="s">
        <v>148</v>
      </c>
      <c r="B6">
        <v>176</v>
      </c>
      <c r="C6" s="10">
        <f>'[1]Ball State University '!D2</f>
        <v>0.46147392290249406</v>
      </c>
      <c r="D6" s="14">
        <f>'[1]Ball State University '!E2</f>
        <v>195</v>
      </c>
      <c r="E6" s="14">
        <f>'[1]Ball State University '!F2</f>
        <v>62</v>
      </c>
      <c r="F6" s="14">
        <f>'[1]Ball State University '!G2</f>
        <v>441</v>
      </c>
      <c r="G6" s="12">
        <f>'[1]Ball State University '!H2</f>
        <v>0.44217687074829931</v>
      </c>
      <c r="H6" s="12">
        <f>'[1]Ball State University '!I2</f>
        <v>0.14058956916099774</v>
      </c>
      <c r="I6" s="12">
        <f>'[1]Ball State University '!J2</f>
        <v>0.41723356009070289</v>
      </c>
      <c r="J6" s="3">
        <f>D6/E6</f>
        <v>3.1451612903225805</v>
      </c>
      <c r="K6" s="1">
        <v>25428</v>
      </c>
      <c r="L6" s="1">
        <v>9654</v>
      </c>
      <c r="M6" s="2">
        <v>16602</v>
      </c>
      <c r="N6" t="s">
        <v>198</v>
      </c>
      <c r="O6" s="7" t="s">
        <v>286</v>
      </c>
      <c r="P6" t="s">
        <v>250</v>
      </c>
    </row>
    <row r="7" spans="1:16" ht="15.75" thickBot="1" x14ac:dyDescent="0.3">
      <c r="A7" s="15" t="s">
        <v>67</v>
      </c>
      <c r="B7" s="6">
        <v>71</v>
      </c>
      <c r="C7" s="10">
        <f>[4]baylor!D2</f>
        <v>0.56496632996633012</v>
      </c>
      <c r="D7" s="14">
        <f>[4]baylor!E2</f>
        <v>249</v>
      </c>
      <c r="E7" s="14">
        <f>[4]baylor!F2</f>
        <v>91</v>
      </c>
      <c r="F7" s="14">
        <f>[4]baylor!G2</f>
        <v>594</v>
      </c>
      <c r="G7" s="12">
        <f>[4]baylor!H2</f>
        <v>0.41919191919191917</v>
      </c>
      <c r="H7" s="12">
        <f>[4]baylor!I2</f>
        <v>0.1531986531986532</v>
      </c>
      <c r="I7" s="12">
        <f>[4]baylor!J2</f>
        <v>0.42760942760942766</v>
      </c>
      <c r="J7" s="3">
        <f>D7/E7</f>
        <v>2.7362637362637363</v>
      </c>
      <c r="K7" s="1">
        <v>42006</v>
      </c>
      <c r="M7" s="2">
        <v>14189</v>
      </c>
      <c r="N7" t="s">
        <v>199</v>
      </c>
      <c r="O7" s="7" t="s">
        <v>333</v>
      </c>
      <c r="P7" t="s">
        <v>221</v>
      </c>
    </row>
    <row r="8" spans="1:16" ht="15.75" thickBot="1" x14ac:dyDescent="0.3">
      <c r="A8" s="15" t="s">
        <v>79</v>
      </c>
      <c r="B8" s="6">
        <v>86</v>
      </c>
      <c r="C8" s="10">
        <f>[4]BinghamtonUniversity!D2</f>
        <v>0.50574350904799392</v>
      </c>
      <c r="D8" s="14">
        <f>[4]BinghamtonUniversity!E2</f>
        <v>584</v>
      </c>
      <c r="E8" s="14">
        <f>[4]BinghamtonUniversity!F2</f>
        <v>189</v>
      </c>
      <c r="F8" s="14">
        <f>[4]BinghamtonUniversity!G2</f>
        <v>1271</v>
      </c>
      <c r="G8" s="12">
        <f>[4]BinghamtonUniversity!H2</f>
        <v>0.45948072383949645</v>
      </c>
      <c r="H8" s="12">
        <f>[4]BinghamtonUniversity!I2</f>
        <v>0.14870180959874116</v>
      </c>
      <c r="I8" s="12">
        <f>[4]BinghamtonUniversity!J2</f>
        <v>0.39181746656176242</v>
      </c>
      <c r="J8" s="3">
        <f>D8/E8</f>
        <v>3.0899470899470898</v>
      </c>
      <c r="K8" s="1">
        <v>22164</v>
      </c>
      <c r="L8" s="1">
        <v>9044</v>
      </c>
      <c r="M8" s="2">
        <v>13491</v>
      </c>
      <c r="N8" t="s">
        <v>198</v>
      </c>
      <c r="O8" s="7" t="s">
        <v>302</v>
      </c>
      <c r="P8" t="s">
        <v>212</v>
      </c>
    </row>
    <row r="9" spans="1:16" ht="15.75" thickBot="1" x14ac:dyDescent="0.3">
      <c r="A9" s="15" t="s">
        <v>32</v>
      </c>
      <c r="B9" s="6">
        <v>31</v>
      </c>
      <c r="C9" s="10">
        <f>[2]BostonCollege!D3</f>
        <v>0.59147762109135515</v>
      </c>
      <c r="D9" s="14">
        <f>[2]BostonCollege!E3</f>
        <v>756</v>
      </c>
      <c r="E9" s="14">
        <f>[2]BostonCollege!F3</f>
        <v>233</v>
      </c>
      <c r="F9" s="14">
        <f>[2]BostonCollege!G3</f>
        <v>1631</v>
      </c>
      <c r="G9" s="12">
        <f>[2]BostonCollege!H3</f>
        <v>0.46351931330472101</v>
      </c>
      <c r="H9" s="12">
        <f>[2]BostonCollege!I3</f>
        <v>0.14285714285714285</v>
      </c>
      <c r="I9" s="12">
        <f>[2]BostonCollege!J3</f>
        <v>0.39362354383813614</v>
      </c>
      <c r="J9" s="3">
        <f>D9/E9</f>
        <v>3.244635193133047</v>
      </c>
      <c r="K9" s="1">
        <v>51296</v>
      </c>
      <c r="M9" s="2">
        <v>9192</v>
      </c>
      <c r="N9" t="s">
        <v>199</v>
      </c>
      <c r="O9" s="7" t="s">
        <v>346</v>
      </c>
      <c r="P9" t="s">
        <v>236</v>
      </c>
    </row>
    <row r="10" spans="1:16" ht="15.75" thickBot="1" x14ac:dyDescent="0.3">
      <c r="A10" s="16" t="s">
        <v>39</v>
      </c>
      <c r="B10" s="6">
        <v>39</v>
      </c>
      <c r="C10" s="10">
        <f>'[7]Boston University'!D2</f>
        <v>0.5351440922190196</v>
      </c>
      <c r="D10" s="14">
        <f>'[7]Boston University'!E2</f>
        <v>1950</v>
      </c>
      <c r="E10" s="14">
        <f>'[7]Boston University'!F2</f>
        <v>628</v>
      </c>
      <c r="F10" s="14">
        <f>'[7]Boston University'!G2</f>
        <v>4164</v>
      </c>
      <c r="G10" s="12">
        <f>'[7]Boston University'!H2</f>
        <v>0.46829971181556196</v>
      </c>
      <c r="H10" s="12">
        <f>'[7]Boston University'!I2</f>
        <v>0.15081652257444764</v>
      </c>
      <c r="I10" s="12">
        <f>'[7]Boston University'!J2</f>
        <v>0.38088376560999038</v>
      </c>
      <c r="J10" s="3">
        <f>D10/E10</f>
        <v>3.105095541401274</v>
      </c>
      <c r="K10" s="1">
        <v>50240</v>
      </c>
      <c r="M10" s="2">
        <v>17932</v>
      </c>
      <c r="N10" t="s">
        <v>199</v>
      </c>
      <c r="O10" s="7" t="s">
        <v>258</v>
      </c>
      <c r="P10" t="s">
        <v>236</v>
      </c>
    </row>
    <row r="11" spans="1:16" ht="15.75" thickBot="1" x14ac:dyDescent="0.3">
      <c r="A11" s="15" t="s">
        <v>161</v>
      </c>
      <c r="B11">
        <v>194</v>
      </c>
      <c r="C11" s="10">
        <f>'[1]Bowling Green State University'!D2</f>
        <v>0.58091230551626583</v>
      </c>
      <c r="D11" s="14">
        <f>'[1]Bowling Green State University'!E2</f>
        <v>637</v>
      </c>
      <c r="E11" s="14">
        <f>'[1]Bowling Green State University'!F2</f>
        <v>194</v>
      </c>
      <c r="F11" s="14">
        <f>'[1]Bowling Green State University'!G2</f>
        <v>1414</v>
      </c>
      <c r="G11" s="12">
        <f>'[1]Bowling Green State University'!H2</f>
        <v>0.45049504950495051</v>
      </c>
      <c r="H11" s="12">
        <f>'[1]Bowling Green State University'!I2</f>
        <v>0.13719943422913719</v>
      </c>
      <c r="I11" s="12">
        <f>'[1]Bowling Green State University'!J2</f>
        <v>0.41230551626591228</v>
      </c>
      <c r="J11" s="3">
        <f>D11/E11</f>
        <v>3.2835051546391751</v>
      </c>
      <c r="K11" s="1">
        <v>18332</v>
      </c>
      <c r="L11" s="1">
        <v>10796</v>
      </c>
      <c r="M11" s="2">
        <v>14334</v>
      </c>
      <c r="N11" t="s">
        <v>198</v>
      </c>
      <c r="O11" s="7" t="s">
        <v>343</v>
      </c>
      <c r="P11" t="s">
        <v>297</v>
      </c>
    </row>
    <row r="12" spans="1:16" ht="15.75" thickBot="1" x14ac:dyDescent="0.3">
      <c r="A12" s="15" t="s">
        <v>17</v>
      </c>
      <c r="B12" s="6">
        <v>14</v>
      </c>
      <c r="C12" s="10">
        <f>'[6]Brown University'!D2</f>
        <v>0.60377294549562288</v>
      </c>
      <c r="D12" s="14">
        <f>'[6]Brown University'!E2</f>
        <v>1699</v>
      </c>
      <c r="E12" s="14">
        <f>'[6]Brown University'!F2</f>
        <v>496</v>
      </c>
      <c r="F12" s="14">
        <f>'[6]Brown University'!G2</f>
        <v>3541</v>
      </c>
      <c r="G12" s="12">
        <f>'[6]Brown University'!H2</f>
        <v>0.47980796385201918</v>
      </c>
      <c r="H12" s="12">
        <f>'[6]Brown University'!I2</f>
        <v>0.14007342558599264</v>
      </c>
      <c r="I12" s="12">
        <f>'[6]Brown University'!J2</f>
        <v>0.38011861056198815</v>
      </c>
      <c r="J12" s="3">
        <f>D12/E12</f>
        <v>3.4254032258064515</v>
      </c>
      <c r="K12" s="1">
        <v>51367</v>
      </c>
      <c r="M12" s="2">
        <v>6652</v>
      </c>
      <c r="N12" t="s">
        <v>199</v>
      </c>
      <c r="O12" s="7" t="s">
        <v>350</v>
      </c>
      <c r="P12" t="s">
        <v>324</v>
      </c>
    </row>
    <row r="13" spans="1:16" ht="15.75" thickBot="1" x14ac:dyDescent="0.3">
      <c r="A13" s="15" t="s">
        <v>180</v>
      </c>
      <c r="B13">
        <v>220</v>
      </c>
      <c r="C13" s="10">
        <f>'[5]California State U Fresno'!D2</f>
        <v>0.57177811550152002</v>
      </c>
      <c r="D13" s="14">
        <f>'[5]California State U Fresno'!E2</f>
        <v>299</v>
      </c>
      <c r="E13" s="14">
        <f>'[5]California State U Fresno'!F2</f>
        <v>91</v>
      </c>
      <c r="F13" s="14">
        <f>'[5]California State U Fresno'!G2</f>
        <v>658</v>
      </c>
      <c r="G13" s="12">
        <f>'[5]California State U Fresno'!H2</f>
        <v>0.45440729483282677</v>
      </c>
      <c r="H13" s="12">
        <f>'[5]California State U Fresno'!I2</f>
        <v>0.13829787234042554</v>
      </c>
      <c r="I13" s="12">
        <f>'[5]California State U Fresno'!J2</f>
        <v>0.40729483282674772</v>
      </c>
      <c r="J13" s="3">
        <f>D13/E13</f>
        <v>3.2857142857142856</v>
      </c>
      <c r="K13" s="1">
        <v>17209</v>
      </c>
      <c r="L13" s="1">
        <v>6313</v>
      </c>
      <c r="M13" s="2">
        <v>21482</v>
      </c>
      <c r="N13" t="s">
        <v>198</v>
      </c>
      <c r="O13" s="7" t="s">
        <v>408</v>
      </c>
      <c r="P13" t="s">
        <v>210</v>
      </c>
    </row>
    <row r="14" spans="1:16" ht="15.75" thickBot="1" x14ac:dyDescent="0.3">
      <c r="A14" s="15" t="s">
        <v>167</v>
      </c>
      <c r="B14">
        <v>202</v>
      </c>
      <c r="C14" s="10">
        <f>'[1]CSU Fullerton'!D2</f>
        <v>0.34894281914893605</v>
      </c>
      <c r="D14" s="14">
        <f>'[1]CSU Fullerton'!E2</f>
        <v>574</v>
      </c>
      <c r="E14" s="14">
        <f>'[1]CSU Fullerton'!F2</f>
        <v>244</v>
      </c>
      <c r="F14" s="14">
        <f>'[1]CSU Fullerton'!G2</f>
        <v>1504</v>
      </c>
      <c r="G14" s="12">
        <f>'[1]CSU Fullerton'!H2</f>
        <v>0.38164893617021278</v>
      </c>
      <c r="H14" s="12">
        <f>'[1]CSU Fullerton'!I2</f>
        <v>0.16223404255319149</v>
      </c>
      <c r="I14" s="12">
        <f>'[1]CSU Fullerton'!J2</f>
        <v>0.4561170212765957</v>
      </c>
      <c r="J14" s="3">
        <f>D14/E14</f>
        <v>2.3524590163934427</v>
      </c>
      <c r="K14" s="1">
        <v>17596</v>
      </c>
      <c r="L14" s="1">
        <v>6436</v>
      </c>
      <c r="M14" s="2">
        <v>33144</v>
      </c>
      <c r="N14" t="s">
        <v>198</v>
      </c>
      <c r="O14" s="7" t="s">
        <v>223</v>
      </c>
      <c r="P14" t="s">
        <v>224</v>
      </c>
    </row>
    <row r="15" spans="1:16" ht="15.75" thickBot="1" x14ac:dyDescent="0.3">
      <c r="A15" s="15" t="s">
        <v>26</v>
      </c>
      <c r="B15" s="6">
        <v>24</v>
      </c>
      <c r="C15" s="10">
        <f>'[7]Carnegie Mellon University'!D2</f>
        <v>0.61005027422303471</v>
      </c>
      <c r="D15" s="14">
        <f>'[7]Carnegie Mellon University'!E2</f>
        <v>2172</v>
      </c>
      <c r="E15" s="14">
        <f>'[7]Carnegie Mellon University'!F2</f>
        <v>581</v>
      </c>
      <c r="F15" s="14">
        <f>'[7]Carnegie Mellon University'!G2</f>
        <v>4376</v>
      </c>
      <c r="G15" s="12">
        <f>'[7]Carnegie Mellon University'!H2</f>
        <v>0.49634369287020108</v>
      </c>
      <c r="H15" s="12">
        <f>'[7]Carnegie Mellon University'!I2</f>
        <v>0.13276965265082266</v>
      </c>
      <c r="I15" s="12">
        <f>'[7]Carnegie Mellon University'!J2</f>
        <v>0.37088665447897629</v>
      </c>
      <c r="J15" s="3">
        <f>D15/E15</f>
        <v>3.7383820998278829</v>
      </c>
      <c r="K15" s="1">
        <v>53910</v>
      </c>
      <c r="M15" s="2">
        <v>6454</v>
      </c>
      <c r="N15" t="s">
        <v>199</v>
      </c>
      <c r="O15" s="7" t="s">
        <v>271</v>
      </c>
      <c r="P15" t="s">
        <v>265</v>
      </c>
    </row>
    <row r="16" spans="1:16" ht="15.75" thickBot="1" x14ac:dyDescent="0.3">
      <c r="A16" s="15" t="s">
        <v>37</v>
      </c>
      <c r="B16" s="4">
        <v>37</v>
      </c>
      <c r="C16" s="10">
        <f>[2]CWCR!D3</f>
        <v>0.63769968051118231</v>
      </c>
      <c r="D16" s="14">
        <f>[2]CWCR!E3</f>
        <v>494</v>
      </c>
      <c r="E16" s="14">
        <f>[2]CWCR!F3</f>
        <v>133</v>
      </c>
      <c r="F16" s="14">
        <f>[2]CWCR!G3</f>
        <v>939</v>
      </c>
      <c r="G16" s="12">
        <f>[2]CWCR!H3</f>
        <v>0.52609158679446222</v>
      </c>
      <c r="H16" s="12">
        <f>[2]CWCR!I3</f>
        <v>0.14164004259850904</v>
      </c>
      <c r="I16" s="12">
        <f>[2]CWCR!J3</f>
        <v>0.33226837060702874</v>
      </c>
      <c r="J16" s="3">
        <f>D16/E16</f>
        <v>3.7142857142857144</v>
      </c>
      <c r="K16" s="1">
        <v>46006</v>
      </c>
      <c r="M16" s="2">
        <v>5121</v>
      </c>
      <c r="N16" t="s">
        <v>199</v>
      </c>
      <c r="O16" s="7" t="s">
        <v>361</v>
      </c>
      <c r="P16" t="s">
        <v>297</v>
      </c>
    </row>
    <row r="17" spans="1:16" ht="15.75" thickBot="1" x14ac:dyDescent="0.3">
      <c r="A17" s="15" t="s">
        <v>168</v>
      </c>
      <c r="B17">
        <v>202</v>
      </c>
      <c r="C17" s="10">
        <f>'[1]Central Michigan'!D2</f>
        <v>0.63094707520891269</v>
      </c>
      <c r="D17" s="14">
        <f>'[1]Central Michigan'!E2</f>
        <v>1358</v>
      </c>
      <c r="E17" s="14">
        <f>'[1]Central Michigan'!F2</f>
        <v>412</v>
      </c>
      <c r="F17" s="14">
        <f>'[1]Central Michigan'!G2</f>
        <v>2872</v>
      </c>
      <c r="G17" s="12">
        <f>'[1]Central Michigan'!H2</f>
        <v>0.47284122562674097</v>
      </c>
      <c r="H17" s="12">
        <f>'[1]Central Michigan'!I2</f>
        <v>0.14345403899721448</v>
      </c>
      <c r="I17" s="12">
        <f>'[1]Central Michigan'!J2</f>
        <v>0.38370473537604455</v>
      </c>
      <c r="J17" s="3">
        <f>D17/E17</f>
        <v>3.296116504854369</v>
      </c>
      <c r="K17" s="1">
        <v>23670</v>
      </c>
      <c r="L17" s="1">
        <v>12150</v>
      </c>
      <c r="M17" s="2">
        <v>20498</v>
      </c>
      <c r="N17" t="s">
        <v>198</v>
      </c>
      <c r="O17" s="7" t="s">
        <v>359</v>
      </c>
      <c r="P17" t="s">
        <v>210</v>
      </c>
    </row>
    <row r="18" spans="1:16" ht="15.75" thickBot="1" x14ac:dyDescent="0.3">
      <c r="A18" s="15" t="s">
        <v>64</v>
      </c>
      <c r="B18">
        <v>66</v>
      </c>
      <c r="C18" s="10">
        <f>'[4]Clemson University '!D2</f>
        <v>0.52352818371607479</v>
      </c>
      <c r="D18" s="14">
        <f>'[4]Clemson University '!E2</f>
        <v>1654</v>
      </c>
      <c r="E18" s="14">
        <f>'[4]Clemson University '!F2</f>
        <v>604</v>
      </c>
      <c r="F18" s="14">
        <f>'[4]Clemson University '!G2</f>
        <v>3832</v>
      </c>
      <c r="G18" s="12">
        <f>'[4]Clemson University '!H2</f>
        <v>0.43162839248434237</v>
      </c>
      <c r="H18" s="12">
        <f>'[4]Clemson University '!I2</f>
        <v>0.15762004175365343</v>
      </c>
      <c r="I18" s="12">
        <f>'[4]Clemson University '!J2</f>
        <v>0.41075156576200422</v>
      </c>
      <c r="J18" s="3">
        <f>D18/E18</f>
        <v>2.73841059602649</v>
      </c>
      <c r="K18" s="1">
        <v>32796</v>
      </c>
      <c r="L18" s="1">
        <v>14240</v>
      </c>
      <c r="M18" s="2">
        <v>18016</v>
      </c>
      <c r="N18" t="s">
        <v>198</v>
      </c>
      <c r="O18" s="7" t="s">
        <v>317</v>
      </c>
      <c r="P18" t="s">
        <v>214</v>
      </c>
    </row>
    <row r="19" spans="1:16" ht="15.75" thickBot="1" x14ac:dyDescent="0.3">
      <c r="A19" s="15" t="s">
        <v>33</v>
      </c>
      <c r="B19" s="5">
        <v>32</v>
      </c>
      <c r="C19" s="10">
        <f>[3]Collegeofwilliamandmary!D2</f>
        <v>0.52421990438939603</v>
      </c>
      <c r="D19" s="14">
        <f>[3]Collegeofwilliamandmary!E2</f>
        <v>1048</v>
      </c>
      <c r="E19" s="14">
        <f>[3]Collegeofwilliamandmary!F2</f>
        <v>390</v>
      </c>
      <c r="F19" s="14">
        <f>[3]Collegeofwilliamandmary!G2</f>
        <v>2301</v>
      </c>
      <c r="G19" s="12">
        <f>[3]Collegeofwilliamandmary!H2</f>
        <v>0.45545415036940462</v>
      </c>
      <c r="H19" s="12">
        <f>[3]Collegeofwilliamandmary!I2</f>
        <v>0.16949152542372881</v>
      </c>
      <c r="I19" s="12">
        <f>[3]Collegeofwilliamandmary!J2</f>
        <v>0.37505432420686657</v>
      </c>
      <c r="J19" s="3">
        <f>D19/E19</f>
        <v>2.687179487179487</v>
      </c>
      <c r="K19" s="1">
        <v>41718</v>
      </c>
      <c r="L19" s="1">
        <v>18687</v>
      </c>
      <c r="M19" s="2">
        <v>6301</v>
      </c>
      <c r="N19" t="s">
        <v>198</v>
      </c>
      <c r="O19" s="7" t="s">
        <v>378</v>
      </c>
      <c r="P19" t="s">
        <v>253</v>
      </c>
    </row>
    <row r="20" spans="1:16" ht="15.75" thickBot="1" x14ac:dyDescent="0.3">
      <c r="A20" s="15" t="s">
        <v>117</v>
      </c>
      <c r="B20" s="5">
        <v>129</v>
      </c>
      <c r="C20" s="10">
        <f>'[3]Colorado State University FC'!D2</f>
        <v>0.67458868894601565</v>
      </c>
      <c r="D20" s="14">
        <f>'[3]Colorado State University FC'!E2</f>
        <v>778</v>
      </c>
      <c r="E20" s="14">
        <f>'[3]Colorado State University FC'!F2</f>
        <v>204</v>
      </c>
      <c r="F20" s="14">
        <f>'[3]Colorado State University FC'!G2</f>
        <v>1556</v>
      </c>
      <c r="G20" s="12">
        <f>'[3]Colorado State University FC'!H2</f>
        <v>0.5</v>
      </c>
      <c r="H20" s="12">
        <f>'[3]Colorado State University FC'!I2</f>
        <v>0.13110539845758354</v>
      </c>
      <c r="I20" s="12">
        <f>'[3]Colorado State University FC'!J2</f>
        <v>0.36889460154241649</v>
      </c>
      <c r="J20" s="3">
        <f>D20/E20</f>
        <v>3.8137254901960786</v>
      </c>
      <c r="K20" s="1">
        <v>28374</v>
      </c>
      <c r="L20" s="1">
        <v>11080</v>
      </c>
      <c r="M20" s="2">
        <v>24433</v>
      </c>
      <c r="N20" t="s">
        <v>198</v>
      </c>
      <c r="O20" s="7" t="s">
        <v>390</v>
      </c>
      <c r="P20" t="s">
        <v>295</v>
      </c>
    </row>
    <row r="21" spans="1:16" ht="15.75" thickBot="1" x14ac:dyDescent="0.3">
      <c r="A21" s="15" t="s">
        <v>8</v>
      </c>
      <c r="B21" s="6">
        <v>5</v>
      </c>
      <c r="C21" s="10">
        <f>'[6]Columbia University'!D2</f>
        <v>0.5299338758901323</v>
      </c>
      <c r="D21" s="14">
        <f>'[6]Columbia University'!E2</f>
        <v>1854</v>
      </c>
      <c r="E21" s="14">
        <f>'[6]Columbia University'!F2</f>
        <v>578</v>
      </c>
      <c r="F21" s="14">
        <f>'[6]Columbia University'!G2</f>
        <v>3932</v>
      </c>
      <c r="G21" s="12">
        <f>'[6]Columbia University'!H2</f>
        <v>0.47151576805696849</v>
      </c>
      <c r="H21" s="12">
        <f>'[6]Columbia University'!I2</f>
        <v>0.14699898270600203</v>
      </c>
      <c r="I21" s="12">
        <f>'[6]Columbia University'!J2</f>
        <v>0.38148524923702953</v>
      </c>
      <c r="J21" s="3">
        <f>D21/E21</f>
        <v>3.2076124567474049</v>
      </c>
      <c r="K21" s="1">
        <v>55056</v>
      </c>
      <c r="M21" s="2">
        <v>6102</v>
      </c>
      <c r="N21" t="s">
        <v>199</v>
      </c>
      <c r="O21" s="7" t="s">
        <v>251</v>
      </c>
      <c r="P21" t="s">
        <v>212</v>
      </c>
    </row>
    <row r="22" spans="1:16" ht="15.75" thickBot="1" x14ac:dyDescent="0.3">
      <c r="A22" s="15" t="s">
        <v>13</v>
      </c>
      <c r="B22" s="6">
        <v>15</v>
      </c>
      <c r="C22" s="10">
        <f>'[6]Cornell University'!D2</f>
        <v>0.44614236261358725</v>
      </c>
      <c r="D22" s="14">
        <f>'[6]Cornell University'!E2</f>
        <v>2049</v>
      </c>
      <c r="E22" s="14">
        <f>'[6]Cornell University'!F2</f>
        <v>805</v>
      </c>
      <c r="F22" s="14">
        <f>'[6]Cornell University'!G2</f>
        <v>4622</v>
      </c>
      <c r="G22" s="12">
        <f>'[6]Cornell University'!H2</f>
        <v>0.44331458243184768</v>
      </c>
      <c r="H22" s="12">
        <f>'[6]Cornell University'!I2</f>
        <v>0.17416702726092601</v>
      </c>
      <c r="I22" s="12">
        <f>'[6]Cornell University'!J2</f>
        <v>0.38251839030722634</v>
      </c>
      <c r="J22" s="3">
        <f>D22/E22</f>
        <v>2.5453416149068322</v>
      </c>
      <c r="K22" s="1">
        <v>50953</v>
      </c>
      <c r="M22" s="2">
        <v>14315</v>
      </c>
      <c r="N22" t="s">
        <v>199</v>
      </c>
      <c r="O22" s="7" t="s">
        <v>275</v>
      </c>
      <c r="P22" t="s">
        <v>212</v>
      </c>
    </row>
    <row r="23" spans="1:16" ht="15.75" thickBot="1" x14ac:dyDescent="0.3">
      <c r="A23" s="15" t="s">
        <v>15</v>
      </c>
      <c r="B23" s="6">
        <v>11</v>
      </c>
      <c r="C23" s="10">
        <f>[6]Dartmouth!D2</f>
        <v>0.69186288088642689</v>
      </c>
      <c r="D23" s="14">
        <f>[6]Dartmouth!E2</f>
        <v>745</v>
      </c>
      <c r="E23" s="14">
        <f>[6]Dartmouth!F2</f>
        <v>173</v>
      </c>
      <c r="F23" s="14">
        <f>[6]Dartmouth!G2</f>
        <v>1444</v>
      </c>
      <c r="G23" s="12">
        <f>[6]Dartmouth!H2</f>
        <v>0.51592797783933519</v>
      </c>
      <c r="H23" s="12">
        <f>[6]Dartmouth!I2</f>
        <v>0.11980609418282548</v>
      </c>
      <c r="I23" s="12">
        <f>[6]Dartmouth!J2</f>
        <v>0.3642659279778393</v>
      </c>
      <c r="J23" s="3">
        <f>D23/E23</f>
        <v>4.3063583815028901</v>
      </c>
      <c r="K23" s="1">
        <v>51438</v>
      </c>
      <c r="M23" s="2">
        <v>4307</v>
      </c>
      <c r="N23" t="s">
        <v>199</v>
      </c>
      <c r="O23" s="7" t="s">
        <v>366</v>
      </c>
      <c r="P23" t="s">
        <v>261</v>
      </c>
    </row>
    <row r="24" spans="1:16" ht="15.75" thickBot="1" x14ac:dyDescent="0.3">
      <c r="A24" s="15" t="s">
        <v>113</v>
      </c>
      <c r="B24">
        <v>124</v>
      </c>
      <c r="C24" s="10">
        <f>'[4]DePaul University'!D2</f>
        <v>0.55157068062827252</v>
      </c>
      <c r="D24" s="14">
        <f>'[4]DePaul University'!E2</f>
        <v>271</v>
      </c>
      <c r="E24" s="14">
        <f>'[4]DePaul University'!F2</f>
        <v>100</v>
      </c>
      <c r="F24" s="14">
        <f>'[4]DePaul University'!G2</f>
        <v>573</v>
      </c>
      <c r="G24" s="12">
        <f>'[4]DePaul University'!H2</f>
        <v>0.47294938917975565</v>
      </c>
      <c r="H24" s="12">
        <f>'[4]DePaul University'!I2</f>
        <v>0.17452006980802792</v>
      </c>
      <c r="I24" s="12">
        <f>'[4]DePaul University'!J2</f>
        <v>0.35253054101221637</v>
      </c>
      <c r="J24" s="3">
        <f>D24/E24</f>
        <v>2.71</v>
      </c>
      <c r="K24" s="1">
        <v>37626</v>
      </c>
      <c r="M24" s="2">
        <v>15961</v>
      </c>
      <c r="N24" t="s">
        <v>199</v>
      </c>
      <c r="O24" s="7" t="s">
        <v>328</v>
      </c>
      <c r="P24" t="s">
        <v>329</v>
      </c>
    </row>
    <row r="25" spans="1:16" ht="15.75" thickBot="1" x14ac:dyDescent="0.3">
      <c r="A25" s="15" t="s">
        <v>88</v>
      </c>
      <c r="B25" s="6">
        <v>96</v>
      </c>
      <c r="C25" s="10">
        <f>'[7]Drexel University'!D2</f>
        <v>0.42025035619784323</v>
      </c>
      <c r="D25" s="14">
        <f>'[7]Drexel University'!E2</f>
        <v>2076</v>
      </c>
      <c r="E25" s="14">
        <f>'[7]Drexel University'!F2</f>
        <v>826</v>
      </c>
      <c r="F25" s="14">
        <f>'[7]Drexel University'!G2</f>
        <v>4913</v>
      </c>
      <c r="G25" s="12">
        <f>'[7]Drexel University'!H2</f>
        <v>0.4225524119682475</v>
      </c>
      <c r="H25" s="12">
        <f>'[7]Drexel University'!I2</f>
        <v>0.1681253816405455</v>
      </c>
      <c r="I25" s="12">
        <f>'[7]Drexel University'!J2</f>
        <v>0.40932220639120698</v>
      </c>
      <c r="J25" s="3">
        <f>D25/E25</f>
        <v>2.513317191283293</v>
      </c>
      <c r="K25" s="1">
        <v>51030</v>
      </c>
      <c r="M25" s="2">
        <v>14138</v>
      </c>
      <c r="N25" t="s">
        <v>199</v>
      </c>
      <c r="O25" s="7" t="s">
        <v>264</v>
      </c>
      <c r="P25" t="s">
        <v>265</v>
      </c>
    </row>
    <row r="26" spans="1:16" ht="15.75" thickBot="1" x14ac:dyDescent="0.3">
      <c r="A26" s="15" t="s">
        <v>12</v>
      </c>
      <c r="B26" s="6">
        <v>8</v>
      </c>
      <c r="C26" s="10">
        <f>[2]Duke!D3</f>
        <v>0.64090434214822023</v>
      </c>
      <c r="D26" s="14">
        <f>[2]Duke!E3</f>
        <v>1476</v>
      </c>
      <c r="E26" s="14">
        <f>[2]Duke!F3</f>
        <v>424</v>
      </c>
      <c r="F26" s="14">
        <f>[2]Duke!G3</f>
        <v>3063</v>
      </c>
      <c r="G26" s="12">
        <f>[2]Duke!H3</f>
        <v>0.48188050930460335</v>
      </c>
      <c r="H26" s="12">
        <f>[2]Duke!I3</f>
        <v>0.13842637936663402</v>
      </c>
      <c r="I26" s="12">
        <f>[2]Duke!J3</f>
        <v>0.3796931113287626</v>
      </c>
      <c r="J26" s="3">
        <f>D26/E26</f>
        <v>3.4811320754716979</v>
      </c>
      <c r="K26" s="1">
        <v>51265</v>
      </c>
      <c r="M26" s="2">
        <v>6639</v>
      </c>
      <c r="N26" t="s">
        <v>199</v>
      </c>
      <c r="O26" s="7" t="s">
        <v>260</v>
      </c>
      <c r="P26" t="s">
        <v>246</v>
      </c>
    </row>
    <row r="27" spans="1:16" ht="15.75" thickBot="1" x14ac:dyDescent="0.3">
      <c r="A27" s="15" t="s">
        <v>114</v>
      </c>
      <c r="B27">
        <v>124</v>
      </c>
      <c r="C27" s="10">
        <f>[4]Duquesne!D2</f>
        <v>0.64367999999999992</v>
      </c>
      <c r="D27" s="14">
        <f>[4]Duquesne!E2</f>
        <v>53</v>
      </c>
      <c r="E27" s="14">
        <f>[4]Duquesne!F2</f>
        <v>13</v>
      </c>
      <c r="F27" s="14">
        <f>[4]Duquesne!G2</f>
        <v>125</v>
      </c>
      <c r="G27" s="12">
        <f>[4]Duquesne!H2</f>
        <v>0.42399999999999999</v>
      </c>
      <c r="H27" s="12">
        <f>[4]Duquesne!I2</f>
        <v>0.104</v>
      </c>
      <c r="I27" s="12">
        <f>[4]Duquesne!J2</f>
        <v>0.47199999999999998</v>
      </c>
      <c r="J27" s="3">
        <f>D27/E27</f>
        <v>4.0769230769230766</v>
      </c>
      <c r="K27" s="1">
        <v>35062</v>
      </c>
      <c r="M27" s="2">
        <v>5961</v>
      </c>
      <c r="N27" t="s">
        <v>199</v>
      </c>
      <c r="O27" s="7" t="s">
        <v>362</v>
      </c>
      <c r="P27" t="s">
        <v>227</v>
      </c>
    </row>
    <row r="28" spans="1:16" ht="15.75" thickBot="1" x14ac:dyDescent="0.3">
      <c r="A28" s="15" t="s">
        <v>173</v>
      </c>
      <c r="B28">
        <v>210</v>
      </c>
      <c r="C28" s="10">
        <f>'[5]East Carolina University'!D2</f>
        <v>0.56331842212281424</v>
      </c>
      <c r="D28" s="14">
        <f>'[5]East Carolina University'!E2</f>
        <v>1141</v>
      </c>
      <c r="E28" s="14">
        <f>'[5]East Carolina University'!F2</f>
        <v>386</v>
      </c>
      <c r="F28" s="14">
        <f>'[5]East Carolina University'!G2</f>
        <v>2459</v>
      </c>
      <c r="G28" s="12">
        <f>'[5]East Carolina University'!H2</f>
        <v>0.46400976006506711</v>
      </c>
      <c r="H28" s="12">
        <f>'[5]East Carolina University'!I2</f>
        <v>0.15697437982919887</v>
      </c>
      <c r="I28" s="12">
        <f>'[5]East Carolina University'!J2</f>
        <v>0.37901586010573407</v>
      </c>
      <c r="J28" s="3">
        <f>D28/E28</f>
        <v>2.9559585492227978</v>
      </c>
      <c r="K28" s="1">
        <v>22904</v>
      </c>
      <c r="L28" s="1">
        <v>6946</v>
      </c>
      <c r="M28" s="2">
        <v>23039</v>
      </c>
      <c r="N28" t="s">
        <v>198</v>
      </c>
      <c r="O28" s="7" t="s">
        <v>399</v>
      </c>
      <c r="P28" t="s">
        <v>395</v>
      </c>
    </row>
    <row r="29" spans="1:16" ht="15.75" thickBot="1" x14ac:dyDescent="0.3">
      <c r="A29" s="15" t="s">
        <v>22</v>
      </c>
      <c r="B29" s="6">
        <v>20</v>
      </c>
      <c r="C29" s="10">
        <f>[2]Emory!D3</f>
        <v>0.5575407608695655</v>
      </c>
      <c r="D29" s="14">
        <f>[2]Emory!E3</f>
        <v>333</v>
      </c>
      <c r="E29" s="14">
        <f>[2]Emory!F3</f>
        <v>105</v>
      </c>
      <c r="F29" s="14">
        <f>[2]Emory!G3</f>
        <v>736</v>
      </c>
      <c r="G29" s="12">
        <f>[2]Emory!H3</f>
        <v>0.45244565217391303</v>
      </c>
      <c r="H29" s="12">
        <f>[2]Emory!I3</f>
        <v>0.14266304347826086</v>
      </c>
      <c r="I29" s="12">
        <f>[2]Emory!J3</f>
        <v>0.40489130434782616</v>
      </c>
      <c r="J29" s="3">
        <f>D29/E29</f>
        <v>3.1714285714285713</v>
      </c>
      <c r="K29" s="1">
        <v>47954</v>
      </c>
      <c r="M29" s="2">
        <v>6867</v>
      </c>
      <c r="N29" t="s">
        <v>199</v>
      </c>
      <c r="O29" s="7" t="s">
        <v>237</v>
      </c>
      <c r="P29" t="s">
        <v>238</v>
      </c>
    </row>
    <row r="30" spans="1:16" ht="15.75" thickBot="1" x14ac:dyDescent="0.3">
      <c r="A30" s="15" t="s">
        <v>196</v>
      </c>
      <c r="B30" s="6">
        <v>216</v>
      </c>
      <c r="C30" s="10">
        <f>[7]FIU!D2</f>
        <v>0.366862123613312</v>
      </c>
      <c r="D30" s="14">
        <f>[7]FIU!E2</f>
        <v>1494</v>
      </c>
      <c r="E30" s="14">
        <f>[7]FIU!F2</f>
        <v>643</v>
      </c>
      <c r="F30" s="14">
        <f>[7]FIU!G2</f>
        <v>3786</v>
      </c>
      <c r="G30" s="12">
        <f>[7]FIU!H2</f>
        <v>0.39461172741679873</v>
      </c>
      <c r="H30" s="12">
        <f>[7]FIU!I2</f>
        <v>0.16983623877443213</v>
      </c>
      <c r="I30" s="12">
        <f>[7]FIU!J2</f>
        <v>0.43555203380876917</v>
      </c>
      <c r="J30" s="3">
        <f>D30/E30</f>
        <v>2.3234836702954897</v>
      </c>
      <c r="K30" s="1">
        <v>18956</v>
      </c>
      <c r="L30" s="1">
        <v>6558</v>
      </c>
      <c r="N30" t="s">
        <v>198</v>
      </c>
      <c r="O30" s="7" t="s">
        <v>229</v>
      </c>
      <c r="P30" t="s">
        <v>230</v>
      </c>
    </row>
    <row r="31" spans="1:16" ht="15.75" thickBot="1" x14ac:dyDescent="0.3">
      <c r="A31" s="15" t="s">
        <v>84</v>
      </c>
      <c r="B31" s="6">
        <v>92</v>
      </c>
      <c r="C31" s="10">
        <f>[7]FSU!D2</f>
        <v>0.5849292035398227</v>
      </c>
      <c r="D31" s="14">
        <f>[7]FSU!E2</f>
        <v>2111</v>
      </c>
      <c r="E31" s="14">
        <f>[7]FSU!F2</f>
        <v>688</v>
      </c>
      <c r="F31" s="14">
        <f>[7]FSU!G2</f>
        <v>4520</v>
      </c>
      <c r="G31" s="12">
        <f>[7]FSU!H2</f>
        <v>0.46703539823008849</v>
      </c>
      <c r="H31" s="12">
        <f>[7]FSU!I2</f>
        <v>0.15221238938053097</v>
      </c>
      <c r="I31" s="12">
        <f>[7]FSU!J2</f>
        <v>0.38075221238938051</v>
      </c>
      <c r="J31" s="3">
        <f>D31/E31</f>
        <v>3.0683139534883721</v>
      </c>
      <c r="K31" s="1">
        <v>24673</v>
      </c>
      <c r="L31" s="1">
        <v>9507</v>
      </c>
      <c r="M31" s="2">
        <v>32706</v>
      </c>
      <c r="N31" t="s">
        <v>198</v>
      </c>
      <c r="O31" s="7" t="s">
        <v>344</v>
      </c>
      <c r="P31" t="s">
        <v>273</v>
      </c>
    </row>
    <row r="32" spans="1:16" ht="15.75" thickBot="1" x14ac:dyDescent="0.3">
      <c r="A32" s="15" t="s">
        <v>59</v>
      </c>
      <c r="B32">
        <v>60</v>
      </c>
      <c r="C32" s="10">
        <f>[4]Fordham!D2</f>
        <v>0.60631274131274104</v>
      </c>
      <c r="D32" s="14">
        <f>[4]Fordham!E2</f>
        <v>256</v>
      </c>
      <c r="E32" s="14">
        <f>[4]Fordham!F2</f>
        <v>68</v>
      </c>
      <c r="F32" s="14">
        <f>[4]Fordham!G2</f>
        <v>518</v>
      </c>
      <c r="G32" s="12">
        <f>[4]Fordham!H2</f>
        <v>0.49420849420849422</v>
      </c>
      <c r="H32" s="12">
        <f>[4]Fordham!I2</f>
        <v>0.13127413127413126</v>
      </c>
      <c r="I32" s="12">
        <f>[4]Fordham!J2</f>
        <v>0.37451737451737455</v>
      </c>
      <c r="J32" s="3">
        <f>D32/E32</f>
        <v>3.7647058823529411</v>
      </c>
      <c r="K32" s="1">
        <v>47317</v>
      </c>
      <c r="M32" s="2">
        <v>8855</v>
      </c>
      <c r="N32" t="s">
        <v>199</v>
      </c>
      <c r="O32" s="7" t="s">
        <v>251</v>
      </c>
      <c r="P32" t="s">
        <v>212</v>
      </c>
    </row>
    <row r="33" spans="1:16" ht="15.75" thickBot="1" x14ac:dyDescent="0.3">
      <c r="A33" s="15" t="s">
        <v>127</v>
      </c>
      <c r="B33">
        <v>143</v>
      </c>
      <c r="C33" s="10">
        <f>'[1]George Mason University'!D2</f>
        <v>0.41214518147684603</v>
      </c>
      <c r="D33" s="14">
        <f>'[1]George Mason University'!E2</f>
        <v>1648</v>
      </c>
      <c r="E33" s="14">
        <f>'[1]George Mason University'!F2</f>
        <v>685</v>
      </c>
      <c r="F33" s="14">
        <f>'[1]George Mason University'!G2</f>
        <v>3995</v>
      </c>
      <c r="G33" s="12">
        <f>'[1]George Mason University'!H2</f>
        <v>0.41251564455569462</v>
      </c>
      <c r="H33" s="12">
        <f>'[1]George Mason University'!I2</f>
        <v>0.17146433041301626</v>
      </c>
      <c r="I33" s="12">
        <f>'[1]George Mason University'!J2</f>
        <v>0.4160200250312891</v>
      </c>
      <c r="J33" s="3">
        <f>D33/E33</f>
        <v>2.4058394160583942</v>
      </c>
      <c r="K33" s="1">
        <v>32582</v>
      </c>
      <c r="L33" s="1">
        <v>11300</v>
      </c>
      <c r="M33" s="2">
        <v>23062</v>
      </c>
      <c r="N33" t="s">
        <v>198</v>
      </c>
      <c r="O33" s="7" t="s">
        <v>252</v>
      </c>
      <c r="P33" t="s">
        <v>253</v>
      </c>
    </row>
    <row r="34" spans="1:16" ht="15.75" thickBot="1" x14ac:dyDescent="0.3">
      <c r="A34" s="15" t="s">
        <v>55</v>
      </c>
      <c r="B34">
        <v>56</v>
      </c>
      <c r="C34" s="10">
        <f>'[4]George Washington University'!D2</f>
        <v>0.59964545454545415</v>
      </c>
      <c r="D34" s="14">
        <f>'[4]George Washington University'!E2</f>
        <v>536</v>
      </c>
      <c r="E34" s="14">
        <f>'[4]George Washington University'!F2</f>
        <v>146</v>
      </c>
      <c r="F34" s="14">
        <f>'[4]George Washington University'!G2</f>
        <v>1100</v>
      </c>
      <c r="G34" s="12">
        <f>'[4]George Washington University'!H2</f>
        <v>0.48727272727272725</v>
      </c>
      <c r="H34" s="12">
        <f>'[4]George Washington University'!I2</f>
        <v>0.13272727272727272</v>
      </c>
      <c r="I34" s="12">
        <f>'[4]George Washington University'!J2</f>
        <v>0.38</v>
      </c>
      <c r="J34" s="3">
        <f>D34/E34</f>
        <v>3.6712328767123288</v>
      </c>
      <c r="K34" s="1">
        <v>51950</v>
      </c>
      <c r="M34" s="2">
        <v>11157</v>
      </c>
      <c r="N34" t="s">
        <v>199</v>
      </c>
      <c r="O34" s="7" t="s">
        <v>328</v>
      </c>
      <c r="P34" t="s">
        <v>329</v>
      </c>
    </row>
    <row r="35" spans="1:16" ht="15.75" thickBot="1" x14ac:dyDescent="0.3">
      <c r="A35" s="15" t="s">
        <v>23</v>
      </c>
      <c r="B35" s="4">
        <v>20</v>
      </c>
      <c r="C35" s="10">
        <f>[2]GeorgeTown!D3</f>
        <v>0.65393013100436703</v>
      </c>
      <c r="D35" s="14">
        <f>[2]GeorgeTown!E3</f>
        <v>217</v>
      </c>
      <c r="E35" s="14">
        <f>[2]GeorgeTown!F3</f>
        <v>51</v>
      </c>
      <c r="F35" s="14">
        <f>[2]GeorgeTown!G3</f>
        <v>458</v>
      </c>
      <c r="G35" s="12">
        <f>[2]GeorgeTown!H3</f>
        <v>0.47379912663755458</v>
      </c>
      <c r="H35" s="12">
        <f>[2]GeorgeTown!I3</f>
        <v>0.11135371179039301</v>
      </c>
      <c r="I35" s="12">
        <f>[2]GeorgeTown!J3</f>
        <v>0.41484716157205237</v>
      </c>
      <c r="J35" s="3">
        <f>D35/E35</f>
        <v>4.2549019607843137</v>
      </c>
      <c r="K35" s="1">
        <v>50547</v>
      </c>
      <c r="M35" s="2">
        <v>7562</v>
      </c>
      <c r="N35" t="s">
        <v>199</v>
      </c>
      <c r="O35" s="7" t="s">
        <v>328</v>
      </c>
      <c r="P35" t="s">
        <v>329</v>
      </c>
    </row>
    <row r="36" spans="1:16" ht="15.75" thickBot="1" x14ac:dyDescent="0.3">
      <c r="A36" s="15" t="s">
        <v>35</v>
      </c>
      <c r="B36" s="6">
        <v>34</v>
      </c>
      <c r="C36" s="10">
        <f>[7]GATech!D2</f>
        <v>0.37779764323445791</v>
      </c>
      <c r="D36" s="14">
        <f>[7]GATech!E2</f>
        <v>1956</v>
      </c>
      <c r="E36" s="14">
        <f>[7]GATech!F2</f>
        <v>844</v>
      </c>
      <c r="F36" s="14">
        <f>[7]GATech!G2</f>
        <v>4922</v>
      </c>
      <c r="G36" s="12">
        <f>[7]GATech!H2</f>
        <v>0.3973994311255587</v>
      </c>
      <c r="H36" s="12">
        <f>[7]GATech!I2</f>
        <v>0.17147501015847216</v>
      </c>
      <c r="I36" s="12">
        <f>[7]GATech!J2</f>
        <v>0.43112555871596914</v>
      </c>
      <c r="J36" s="3">
        <f>D36/E36</f>
        <v>2.3175355450236967</v>
      </c>
      <c r="K36" s="1">
        <v>32404</v>
      </c>
      <c r="L36" s="1">
        <v>12212</v>
      </c>
      <c r="M36" s="2">
        <v>15142</v>
      </c>
      <c r="N36" t="s">
        <v>198</v>
      </c>
      <c r="O36" s="7" t="s">
        <v>237</v>
      </c>
      <c r="P36" t="s">
        <v>238</v>
      </c>
    </row>
    <row r="37" spans="1:16" ht="15.75" thickBot="1" x14ac:dyDescent="0.3">
      <c r="A37" s="15" t="s">
        <v>5</v>
      </c>
      <c r="B37" s="6">
        <v>2</v>
      </c>
      <c r="C37" s="10">
        <f>'[6]Harvard University'!D2</f>
        <v>0.59543355855855873</v>
      </c>
      <c r="D37" s="14">
        <f>'[6]Harvard University'!E2</f>
        <v>1690</v>
      </c>
      <c r="E37" s="14">
        <f>'[6]Harvard University'!F2</f>
        <v>495</v>
      </c>
      <c r="F37" s="14">
        <f>'[6]Harvard University'!G2</f>
        <v>3552</v>
      </c>
      <c r="G37" s="12">
        <f>'[6]Harvard University'!H2</f>
        <v>0.47578828828828829</v>
      </c>
      <c r="H37" s="12">
        <f>'[6]Harvard University'!I2</f>
        <v>0.13935810810810811</v>
      </c>
      <c r="I37" s="12">
        <f>'[6]Harvard University'!J2</f>
        <v>0.38485360360360366</v>
      </c>
      <c r="J37" s="3">
        <f>D37/E37</f>
        <v>3.4141414141414139</v>
      </c>
      <c r="K37" s="1">
        <v>47074</v>
      </c>
      <c r="M37" s="2">
        <v>6699</v>
      </c>
      <c r="N37" t="s">
        <v>199</v>
      </c>
      <c r="O37" s="7" t="s">
        <v>313</v>
      </c>
      <c r="P37" t="s">
        <v>236</v>
      </c>
    </row>
    <row r="38" spans="1:16" ht="15.75" thickBot="1" x14ac:dyDescent="0.3">
      <c r="A38" s="15" t="s">
        <v>119</v>
      </c>
      <c r="B38">
        <v>133</v>
      </c>
      <c r="C38" s="10">
        <f>[4]Hofstra!D2</f>
        <v>0.35585903083700438</v>
      </c>
      <c r="D38" s="14">
        <f>[4]Hofstra!E2</f>
        <v>172</v>
      </c>
      <c r="E38" s="14">
        <f>[4]Hofstra!F2</f>
        <v>75</v>
      </c>
      <c r="F38" s="14">
        <f>[4]Hofstra!G2</f>
        <v>454</v>
      </c>
      <c r="G38" s="12">
        <f>[4]Hofstra!H2</f>
        <v>0.3788546255506608</v>
      </c>
      <c r="H38" s="12">
        <f>[4]Hofstra!I2</f>
        <v>0.16519823788546256</v>
      </c>
      <c r="I38" s="12">
        <f>[4]Hofstra!J2</f>
        <v>0.45594713656387664</v>
      </c>
      <c r="J38" s="3">
        <f>D38/E38</f>
        <v>2.2933333333333334</v>
      </c>
      <c r="K38" s="1">
        <v>42160</v>
      </c>
      <c r="M38" s="2">
        <v>6824</v>
      </c>
      <c r="N38" t="s">
        <v>199</v>
      </c>
      <c r="O38" s="7" t="s">
        <v>225</v>
      </c>
      <c r="P38" t="s">
        <v>212</v>
      </c>
    </row>
    <row r="39" spans="1:16" ht="15.75" thickBot="1" x14ac:dyDescent="0.3">
      <c r="A39" s="15" t="s">
        <v>134</v>
      </c>
      <c r="B39">
        <v>152</v>
      </c>
      <c r="C39" s="10">
        <f>'[1]Illinois State University'!D2</f>
        <v>0.56916987740805647</v>
      </c>
      <c r="D39" s="14">
        <f>'[1]Illinois State University'!E2</f>
        <v>1274</v>
      </c>
      <c r="E39" s="14">
        <f>'[1]Illinois State University'!F2</f>
        <v>400</v>
      </c>
      <c r="F39" s="14">
        <f>'[1]Illinois State University'!G2</f>
        <v>2855</v>
      </c>
      <c r="G39" s="12">
        <f>'[1]Illinois State University'!H2</f>
        <v>0.44623467600700523</v>
      </c>
      <c r="H39" s="12">
        <f>'[1]Illinois State University'!I2</f>
        <v>0.14010507880910683</v>
      </c>
      <c r="I39" s="12">
        <f>'[1]Illinois State University'!J2</f>
        <v>0.413660245183888</v>
      </c>
      <c r="J39" s="3">
        <f>D39/E39</f>
        <v>3.1850000000000001</v>
      </c>
      <c r="K39" s="1">
        <v>20886</v>
      </c>
      <c r="L39" s="1">
        <v>13296</v>
      </c>
      <c r="M39" s="2">
        <v>18426</v>
      </c>
      <c r="N39" t="s">
        <v>198</v>
      </c>
      <c r="O39" s="7" t="s">
        <v>336</v>
      </c>
      <c r="P39" t="s">
        <v>227</v>
      </c>
    </row>
    <row r="40" spans="1:16" ht="15.75" thickBot="1" x14ac:dyDescent="0.3">
      <c r="A40" s="15" t="s">
        <v>80</v>
      </c>
      <c r="B40" s="5">
        <v>86</v>
      </c>
      <c r="C40" s="10">
        <f>[3]IndianaUniversity!D2</f>
        <v>0.55199481865284983</v>
      </c>
      <c r="D40" s="14">
        <f>[3]IndianaUniversity!E2</f>
        <v>164</v>
      </c>
      <c r="E40" s="14">
        <f>[3]IndianaUniversity!F2</f>
        <v>51</v>
      </c>
      <c r="F40" s="14">
        <f>[3]IndianaUniversity!G2</f>
        <v>386</v>
      </c>
      <c r="G40" s="12">
        <f>[3]IndianaUniversity!H2</f>
        <v>0.42487046632124353</v>
      </c>
      <c r="H40" s="12">
        <f>[3]IndianaUniversity!I2</f>
        <v>0.13212435233160622</v>
      </c>
      <c r="I40" s="12">
        <f>[3]IndianaUniversity!J2</f>
        <v>0.44300518134715028</v>
      </c>
      <c r="J40" s="3">
        <f>D40/E40</f>
        <v>3.215686274509804</v>
      </c>
      <c r="K40" s="1">
        <v>34246</v>
      </c>
      <c r="L40" s="1">
        <v>10388</v>
      </c>
      <c r="M40" s="2">
        <v>38364</v>
      </c>
      <c r="N40" t="s">
        <v>198</v>
      </c>
      <c r="O40" s="7" t="s">
        <v>388</v>
      </c>
      <c r="P40" t="s">
        <v>250</v>
      </c>
    </row>
    <row r="41" spans="1:16" ht="15.75" thickBot="1" x14ac:dyDescent="0.3">
      <c r="A41" s="15" t="s">
        <v>164</v>
      </c>
      <c r="B41">
        <v>197</v>
      </c>
      <c r="C41" s="10">
        <f>'[1]Indiana University- purdue Uni'!D2</f>
        <v>0.57385344283006956</v>
      </c>
      <c r="D41" s="14">
        <f>'[1]Indiana University- purdue Uni'!E2</f>
        <v>713</v>
      </c>
      <c r="E41" s="14">
        <f>'[1]Indiana University- purdue Uni'!F2</f>
        <v>193</v>
      </c>
      <c r="F41" s="14">
        <f>'[1]Indiana University- purdue Uni'!G2</f>
        <v>1583</v>
      </c>
      <c r="G41" s="12">
        <f>'[1]Indiana University- purdue Uni'!H2</f>
        <v>0.4504106127605812</v>
      </c>
      <c r="H41" s="12">
        <f>'[1]Indiana University- purdue Uni'!I2</f>
        <v>0.12192040429564119</v>
      </c>
      <c r="I41" s="12">
        <f>'[1]Indiana University- purdue Uni'!J2</f>
        <v>0.42766898294377764</v>
      </c>
      <c r="J41" s="3">
        <f>D41/E41</f>
        <v>3.6943005181347148</v>
      </c>
      <c r="K41" s="1">
        <v>29791</v>
      </c>
      <c r="L41" s="1">
        <v>9205</v>
      </c>
      <c r="M41" s="2">
        <v>21985</v>
      </c>
      <c r="N41" t="s">
        <v>198</v>
      </c>
      <c r="O41" s="7" t="s">
        <v>339</v>
      </c>
      <c r="P41" t="s">
        <v>250</v>
      </c>
    </row>
    <row r="42" spans="1:16" ht="15.75" thickBot="1" x14ac:dyDescent="0.3">
      <c r="A42" s="15" t="s">
        <v>101</v>
      </c>
      <c r="B42" s="5">
        <v>111</v>
      </c>
      <c r="C42" s="10">
        <f>'[7]Iowa State U'!D2</f>
        <v>0.38329954283442658</v>
      </c>
      <c r="D42" s="14">
        <f>'[7]Iowa State U'!E2</f>
        <v>1979</v>
      </c>
      <c r="E42" s="14">
        <f>'[7]Iowa State U'!F2</f>
        <v>857</v>
      </c>
      <c r="F42" s="14">
        <f>'[7]Iowa State U'!G2</f>
        <v>5031</v>
      </c>
      <c r="G42" s="12">
        <f>'[7]Iowa State U'!H2</f>
        <v>0.39336116080302125</v>
      </c>
      <c r="H42" s="12">
        <f>'[7]Iowa State U'!I2</f>
        <v>0.17034386801828663</v>
      </c>
      <c r="I42" s="12">
        <f>'[7]Iowa State U'!J2</f>
        <v>0.43629497117869209</v>
      </c>
      <c r="J42" s="3">
        <f>D42/E42</f>
        <v>2.3092182030338391</v>
      </c>
      <c r="K42" s="1">
        <v>21483</v>
      </c>
      <c r="L42" s="1">
        <v>7969</v>
      </c>
      <c r="M42" s="2">
        <v>30034</v>
      </c>
      <c r="N42" t="s">
        <v>198</v>
      </c>
      <c r="O42" s="7" t="s">
        <v>240</v>
      </c>
      <c r="P42" t="s">
        <v>241</v>
      </c>
    </row>
    <row r="43" spans="1:16" ht="15.75" thickBot="1" x14ac:dyDescent="0.3">
      <c r="A43" s="15" t="s">
        <v>14</v>
      </c>
      <c r="B43" s="6">
        <v>10</v>
      </c>
      <c r="C43" s="10">
        <f>[2]JHU!D3</f>
        <v>0.60318909710391833</v>
      </c>
      <c r="D43" s="14">
        <f>[2]JHU!E3</f>
        <v>1414</v>
      </c>
      <c r="E43" s="14">
        <f>[2]JHU!F3</f>
        <v>332</v>
      </c>
      <c r="F43" s="14">
        <f>[2]JHU!G3</f>
        <v>2935</v>
      </c>
      <c r="G43" s="12">
        <f>[2]JHU!H3</f>
        <v>0.48177172061328788</v>
      </c>
      <c r="H43" s="12">
        <f>[2]JHU!I3</f>
        <v>0.1131175468483816</v>
      </c>
      <c r="I43" s="12">
        <f>[2]JHU!J3</f>
        <v>0.40511073253833052</v>
      </c>
      <c r="J43" s="3">
        <f>D43/E43</f>
        <v>4.2590361445783129</v>
      </c>
      <c r="K43" s="1">
        <v>50410</v>
      </c>
      <c r="M43" s="2">
        <v>6524</v>
      </c>
      <c r="N43" t="s">
        <v>199</v>
      </c>
      <c r="O43" s="7" t="s">
        <v>255</v>
      </c>
      <c r="P43" t="s">
        <v>219</v>
      </c>
    </row>
    <row r="44" spans="1:16" ht="15.75" thickBot="1" x14ac:dyDescent="0.3">
      <c r="A44" s="15" t="s">
        <v>121</v>
      </c>
      <c r="B44">
        <v>135</v>
      </c>
      <c r="C44" s="10">
        <f>[1]KState!D2</f>
        <v>0.58854955680902521</v>
      </c>
      <c r="D44" s="14">
        <f>[1]KState!E2</f>
        <v>587</v>
      </c>
      <c r="E44" s="14">
        <f>[1]KState!F2</f>
        <v>197</v>
      </c>
      <c r="F44" s="14">
        <f>[1]KState!G2</f>
        <v>1241</v>
      </c>
      <c r="G44" s="12">
        <f>[1]KState!H2</f>
        <v>0.47300564061240935</v>
      </c>
      <c r="H44" s="12">
        <f>[1]KState!I2</f>
        <v>0.15874294923448831</v>
      </c>
      <c r="I44" s="12">
        <f>[1]KState!J2</f>
        <v>0.36825141015310237</v>
      </c>
      <c r="J44" s="3">
        <f>D44/E44</f>
        <v>2.9796954314720812</v>
      </c>
      <c r="K44" s="1">
        <v>23429</v>
      </c>
      <c r="L44" s="1">
        <v>9350</v>
      </c>
      <c r="M44" s="2">
        <v>19859</v>
      </c>
      <c r="N44" t="s">
        <v>198</v>
      </c>
      <c r="O44" s="7" t="s">
        <v>345</v>
      </c>
      <c r="P44" t="s">
        <v>293</v>
      </c>
    </row>
    <row r="45" spans="1:16" ht="15.75" thickBot="1" x14ac:dyDescent="0.3">
      <c r="A45" s="15" t="s">
        <v>157</v>
      </c>
      <c r="B45">
        <v>188</v>
      </c>
      <c r="C45" s="10">
        <f>[1]KentStateUniversity!D2</f>
        <v>0.56346038114343022</v>
      </c>
      <c r="D45" s="14">
        <f>[1]KentStateUniversity!E2</f>
        <v>899</v>
      </c>
      <c r="E45" s="14">
        <f>[1]KentStateUniversity!F2</f>
        <v>301</v>
      </c>
      <c r="F45" s="14">
        <f>[1]KentStateUniversity!G2</f>
        <v>1994</v>
      </c>
      <c r="G45" s="12">
        <f>[1]KentStateUniversity!H2</f>
        <v>0.45085255767301907</v>
      </c>
      <c r="H45" s="12">
        <f>[1]KentStateUniversity!I2</f>
        <v>0.15095285857572718</v>
      </c>
      <c r="I45" s="12">
        <f>[1]KentStateUniversity!J2</f>
        <v>0.39819458375125372</v>
      </c>
      <c r="J45" s="3">
        <f>D45/E45</f>
        <v>2.9867109634551494</v>
      </c>
      <c r="K45" s="1">
        <v>18376</v>
      </c>
      <c r="L45" s="1">
        <v>10012</v>
      </c>
      <c r="M45" s="2">
        <v>23607</v>
      </c>
      <c r="N45" t="s">
        <v>198</v>
      </c>
      <c r="O45" s="7" t="s">
        <v>332</v>
      </c>
      <c r="P45" t="s">
        <v>297</v>
      </c>
    </row>
    <row r="46" spans="1:16" ht="15.75" thickBot="1" x14ac:dyDescent="0.3">
      <c r="A46" s="15" t="s">
        <v>44</v>
      </c>
      <c r="B46" s="6">
        <v>44</v>
      </c>
      <c r="C46" s="10">
        <f>[2]Lehigh!D3</f>
        <v>0.42228704784130716</v>
      </c>
      <c r="D46" s="14">
        <f>[2]Lehigh!E3</f>
        <v>1072</v>
      </c>
      <c r="E46" s="14">
        <f>[2]Lehigh!F3</f>
        <v>463</v>
      </c>
      <c r="F46" s="14">
        <f>[2]Lehigh!G3</f>
        <v>2571</v>
      </c>
      <c r="G46" s="12">
        <f>[2]Lehigh!H3</f>
        <v>0.41695838195254764</v>
      </c>
      <c r="H46" s="12">
        <f>[2]Lehigh!I3</f>
        <v>0.18008556981719176</v>
      </c>
      <c r="I46" s="12">
        <f>[2]Lehigh!J3</f>
        <v>0.40295604823026054</v>
      </c>
      <c r="J46" s="3">
        <f>D46/E46</f>
        <v>2.3153347732181424</v>
      </c>
      <c r="K46" s="1">
        <v>48320</v>
      </c>
      <c r="M46" s="2">
        <v>5075</v>
      </c>
      <c r="N46" t="s">
        <v>199</v>
      </c>
      <c r="O46" s="7" t="s">
        <v>270</v>
      </c>
      <c r="P46" t="s">
        <v>265</v>
      </c>
    </row>
    <row r="47" spans="1:16" ht="15.75" thickBot="1" x14ac:dyDescent="0.3">
      <c r="A47" s="15" t="s">
        <v>122</v>
      </c>
      <c r="B47">
        <v>135</v>
      </c>
      <c r="C47" s="10">
        <f>'[4]Louisiana State University'!D2</f>
        <v>0.45192648506727973</v>
      </c>
      <c r="D47" s="14">
        <f>'[4]Louisiana State University'!E2</f>
        <v>1219</v>
      </c>
      <c r="E47" s="14">
        <f>'[4]Louisiana State University'!F2</f>
        <v>452</v>
      </c>
      <c r="F47" s="14">
        <f>'[4]Louisiana State University'!G2</f>
        <v>3047</v>
      </c>
      <c r="G47" s="12">
        <f>'[4]Louisiana State University'!H2</f>
        <v>0.40006563833278636</v>
      </c>
      <c r="H47" s="12">
        <f>'[4]Louisiana State University'!I2</f>
        <v>0.14834263209714474</v>
      </c>
      <c r="I47" s="12">
        <f>'[4]Louisiana State University'!J2</f>
        <v>0.45159172957006888</v>
      </c>
      <c r="J47" s="3">
        <f>D47/E47</f>
        <v>2.6969026548672566</v>
      </c>
      <c r="K47" s="1">
        <v>27005</v>
      </c>
      <c r="L47" s="1">
        <v>9842</v>
      </c>
      <c r="M47" s="2">
        <v>26156</v>
      </c>
      <c r="N47" t="s">
        <v>198</v>
      </c>
      <c r="O47" s="7" t="s">
        <v>279</v>
      </c>
      <c r="P47" t="s">
        <v>243</v>
      </c>
    </row>
    <row r="48" spans="1:16" ht="15.75" thickBot="1" x14ac:dyDescent="0.3">
      <c r="A48" s="15" t="s">
        <v>169</v>
      </c>
      <c r="B48">
        <v>202</v>
      </c>
      <c r="C48" s="10">
        <f>[5]LouisianaTech!D2</f>
        <v>0.41973451327433642</v>
      </c>
      <c r="D48" s="14">
        <f>[5]LouisianaTech!E2</f>
        <v>210</v>
      </c>
      <c r="E48" s="14">
        <f>[5]LouisianaTech!F2</f>
        <v>87</v>
      </c>
      <c r="F48" s="14">
        <f>[5]LouisianaTech!G2</f>
        <v>565</v>
      </c>
      <c r="G48" s="12">
        <f>[5]LouisianaTech!H2</f>
        <v>0.37168141592920356</v>
      </c>
      <c r="H48" s="12">
        <f>[5]LouisianaTech!I2</f>
        <v>0.15398230088495576</v>
      </c>
      <c r="I48" s="12">
        <f>[5]LouisianaTech!J2</f>
        <v>0.47433628318584065</v>
      </c>
      <c r="J48" s="3">
        <f>D48/E48</f>
        <v>2.4137931034482758</v>
      </c>
      <c r="K48" s="1">
        <v>25851</v>
      </c>
      <c r="L48" s="1">
        <v>8853</v>
      </c>
      <c r="M48" s="2">
        <v>10682</v>
      </c>
      <c r="N48" t="s">
        <v>198</v>
      </c>
      <c r="O48" s="7" t="s">
        <v>393</v>
      </c>
      <c r="P48" t="s">
        <v>257</v>
      </c>
    </row>
    <row r="49" spans="1:16" ht="15.75" thickBot="1" x14ac:dyDescent="0.3">
      <c r="A49" s="15" t="s">
        <v>92</v>
      </c>
      <c r="B49">
        <v>99</v>
      </c>
      <c r="C49" s="10">
        <f>'[4]Loyola University Chicago'!D2</f>
        <v>0.66810526315789465</v>
      </c>
      <c r="D49" s="14">
        <f>'[4]Loyola University Chicago'!E2</f>
        <v>518</v>
      </c>
      <c r="E49" s="14">
        <f>'[4]Loyola University Chicago'!F2</f>
        <v>123</v>
      </c>
      <c r="F49" s="14">
        <f>'[4]Loyola University Chicago'!G2</f>
        <v>1045</v>
      </c>
      <c r="G49" s="12">
        <f>'[4]Loyola University Chicago'!H2</f>
        <v>0.49569377990430624</v>
      </c>
      <c r="H49" s="12">
        <f>'[4]Loyola University Chicago'!I2</f>
        <v>0.11770334928229666</v>
      </c>
      <c r="I49" s="12">
        <f>'[4]Loyola University Chicago'!J2</f>
        <v>0.38660287081339706</v>
      </c>
      <c r="J49" s="3">
        <f>D49/E49</f>
        <v>4.2113821138211378</v>
      </c>
      <c r="K49" s="1">
        <v>41384</v>
      </c>
      <c r="M49" s="2">
        <v>11079</v>
      </c>
      <c r="N49" t="s">
        <v>199</v>
      </c>
      <c r="O49" s="7" t="s">
        <v>362</v>
      </c>
      <c r="P49" t="s">
        <v>227</v>
      </c>
    </row>
    <row r="50" spans="1:16" ht="15.75" thickBot="1" x14ac:dyDescent="0.3">
      <c r="A50" s="15" t="s">
        <v>81</v>
      </c>
      <c r="B50">
        <v>86</v>
      </c>
      <c r="C50" s="10">
        <f>[4]Marquette!D2</f>
        <v>0.50828571428571445</v>
      </c>
      <c r="D50" s="14">
        <f>[4]Marquette!E2</f>
        <v>123</v>
      </c>
      <c r="E50" s="14">
        <f>[4]Marquette!F2</f>
        <v>48</v>
      </c>
      <c r="F50" s="14">
        <f>[4]Marquette!G2</f>
        <v>280</v>
      </c>
      <c r="G50" s="12">
        <f>[4]Marquette!H2</f>
        <v>0.43928571428571428</v>
      </c>
      <c r="H50" s="12">
        <f>[4]Marquette!I2</f>
        <v>0.17142857142857143</v>
      </c>
      <c r="I50" s="12">
        <f>[4]Marquette!J2</f>
        <v>0.38928571428571423</v>
      </c>
      <c r="J50" s="3">
        <f>D50/E50</f>
        <v>2.5625</v>
      </c>
      <c r="K50" s="1">
        <v>38470</v>
      </c>
      <c r="M50" s="2">
        <v>8334</v>
      </c>
      <c r="N50" t="s">
        <v>199</v>
      </c>
      <c r="O50" s="7" t="s">
        <v>305</v>
      </c>
      <c r="P50" t="s">
        <v>306</v>
      </c>
    </row>
    <row r="51" spans="1:16" ht="15.75" thickBot="1" x14ac:dyDescent="0.3">
      <c r="A51" s="15" t="s">
        <v>10</v>
      </c>
      <c r="B51" s="6">
        <v>7</v>
      </c>
      <c r="C51" s="10">
        <f>[7]MIT!D2</f>
        <v>0.519843637238393</v>
      </c>
      <c r="D51" s="14">
        <f>[7]MIT!E2</f>
        <v>1923</v>
      </c>
      <c r="E51" s="14">
        <f>[7]MIT!F2</f>
        <v>593</v>
      </c>
      <c r="F51" s="14">
        <f>[7]MIT!G2</f>
        <v>4157</v>
      </c>
      <c r="G51" s="12">
        <f>[7]MIT!H2</f>
        <v>0.46259321626172722</v>
      </c>
      <c r="H51" s="12">
        <f>[7]MIT!I2</f>
        <v>0.14265095020447438</v>
      </c>
      <c r="I51" s="12">
        <f>[7]MIT!J2</f>
        <v>0.39475583353379839</v>
      </c>
      <c r="J51" s="3">
        <f>D51/E51</f>
        <v>3.24283305227656</v>
      </c>
      <c r="K51" s="1">
        <v>48452</v>
      </c>
      <c r="M51" s="2">
        <v>4527</v>
      </c>
      <c r="N51" t="s">
        <v>199</v>
      </c>
      <c r="O51" s="7" t="s">
        <v>313</v>
      </c>
      <c r="P51" t="s">
        <v>236</v>
      </c>
    </row>
    <row r="52" spans="1:16" ht="15.75" thickBot="1" x14ac:dyDescent="0.3">
      <c r="A52" s="15" t="s">
        <v>73</v>
      </c>
      <c r="B52">
        <v>79</v>
      </c>
      <c r="C52" s="10">
        <f>'[4]Miami University'!D2</f>
        <v>0.49222578062449984</v>
      </c>
      <c r="D52" s="14">
        <f>'[4]Miami University'!E2</f>
        <v>561</v>
      </c>
      <c r="E52" s="14">
        <f>'[4]Miami University'!F2</f>
        <v>218</v>
      </c>
      <c r="F52" s="14">
        <f>'[4]Miami University'!G2</f>
        <v>1249</v>
      </c>
      <c r="G52" s="12">
        <f>'[4]Miami University'!H2</f>
        <v>0.44915932746196957</v>
      </c>
      <c r="H52" s="12">
        <f>'[4]Miami University'!I2</f>
        <v>0.1745396317053643</v>
      </c>
      <c r="I52" s="12">
        <f>'[4]Miami University'!J2</f>
        <v>0.37630104083266613</v>
      </c>
      <c r="J52" s="3">
        <f>D52/E52</f>
        <v>2.573394495412844</v>
      </c>
      <c r="K52" s="1">
        <v>31592</v>
      </c>
      <c r="L52" s="1">
        <v>14288</v>
      </c>
      <c r="M52" s="2">
        <v>16387</v>
      </c>
      <c r="N52" t="s">
        <v>198</v>
      </c>
      <c r="O52" s="7" t="s">
        <v>296</v>
      </c>
      <c r="P52" t="s">
        <v>297</v>
      </c>
    </row>
    <row r="53" spans="1:16" ht="15.75" thickBot="1" x14ac:dyDescent="0.3">
      <c r="A53" s="15" t="s">
        <v>76</v>
      </c>
      <c r="B53" s="6">
        <v>82</v>
      </c>
      <c r="C53" s="10">
        <f>'[7]Michigan State University'!D2</f>
        <v>0.41646248085758042</v>
      </c>
      <c r="D53" s="14">
        <f>'[7]Michigan State University'!E2</f>
        <v>1975</v>
      </c>
      <c r="E53" s="14">
        <f>'[7]Michigan State University'!F2</f>
        <v>854</v>
      </c>
      <c r="F53" s="14">
        <f>'[7]Michigan State University'!G2</f>
        <v>4571</v>
      </c>
      <c r="G53" s="12">
        <f>'[7]Michigan State University'!H2</f>
        <v>0.43207175672719317</v>
      </c>
      <c r="H53" s="12">
        <f>'[7]Michigan State University'!I2</f>
        <v>0.18683001531393567</v>
      </c>
      <c r="I53" s="12">
        <f>'[7]Michigan State University'!J2</f>
        <v>0.38109822795887116</v>
      </c>
      <c r="J53" s="3">
        <f>D53/E53</f>
        <v>2.312646370023419</v>
      </c>
      <c r="K53" s="1">
        <v>39090</v>
      </c>
      <c r="L53" s="1">
        <v>14070</v>
      </c>
      <c r="M53" s="2">
        <v>39143</v>
      </c>
      <c r="N53" t="s">
        <v>198</v>
      </c>
      <c r="O53" s="7" t="s">
        <v>256</v>
      </c>
      <c r="P53" t="s">
        <v>257</v>
      </c>
    </row>
    <row r="54" spans="1:16" ht="15.75" thickBot="1" x14ac:dyDescent="0.3">
      <c r="A54" s="15" t="s">
        <v>107</v>
      </c>
      <c r="B54">
        <v>118</v>
      </c>
      <c r="C54" s="10">
        <f>'[4]Michigan Techno Uni'!D2</f>
        <v>0.53983247030155335</v>
      </c>
      <c r="D54" s="14">
        <f>'[4]Michigan Techno Uni'!E2</f>
        <v>1506</v>
      </c>
      <c r="E54" s="14">
        <f>'[4]Michigan Techno Uni'!F2</f>
        <v>543</v>
      </c>
      <c r="F54" s="14">
        <f>'[4]Michigan Techno Uni'!G2</f>
        <v>3283</v>
      </c>
      <c r="G54" s="12">
        <f>'[4]Michigan Techno Uni'!H2</f>
        <v>0.45872677429180625</v>
      </c>
      <c r="H54" s="12">
        <f>'[4]Michigan Techno Uni'!I2</f>
        <v>0.1653975022844959</v>
      </c>
      <c r="I54" s="12">
        <f>'[4]Michigan Techno Uni'!J2</f>
        <v>0.37587572342369779</v>
      </c>
      <c r="J54" s="3">
        <f>D54/E54</f>
        <v>2.7734806629834252</v>
      </c>
      <c r="K54" s="1">
        <v>30968</v>
      </c>
      <c r="L54" s="1">
        <v>14634</v>
      </c>
      <c r="M54" s="2">
        <v>5721</v>
      </c>
      <c r="N54" t="s">
        <v>198</v>
      </c>
      <c r="O54" s="7" t="s">
        <v>325</v>
      </c>
      <c r="P54" t="s">
        <v>257</v>
      </c>
    </row>
    <row r="55" spans="1:16" ht="15.75" thickBot="1" x14ac:dyDescent="0.3">
      <c r="A55" s="15" t="s">
        <v>149</v>
      </c>
      <c r="B55">
        <v>176</v>
      </c>
      <c r="C55" s="10">
        <f>'[1]Mississippi State University'!D2</f>
        <v>0.46392897196261701</v>
      </c>
      <c r="D55" s="14">
        <f>'[1]Mississippi State University'!E2</f>
        <v>1094</v>
      </c>
      <c r="E55" s="14">
        <f>'[1]Mississippi State University'!F2</f>
        <v>463</v>
      </c>
      <c r="F55" s="14">
        <f>'[1]Mississippi State University'!G2</f>
        <v>2675</v>
      </c>
      <c r="G55" s="12">
        <f>'[1]Mississippi State University'!H2</f>
        <v>0.40897196261682245</v>
      </c>
      <c r="H55" s="12">
        <f>'[1]Mississippi State University'!I2</f>
        <v>0.1730841121495327</v>
      </c>
      <c r="I55" s="12">
        <f>'[1]Mississippi State University'!J2</f>
        <v>0.41794392523364488</v>
      </c>
      <c r="J55" s="3">
        <f>D55/E55</f>
        <v>2.3628509719222461</v>
      </c>
      <c r="K55" s="1">
        <v>20142</v>
      </c>
      <c r="L55" s="1">
        <v>7502</v>
      </c>
      <c r="M55" s="2">
        <v>17421</v>
      </c>
      <c r="N55" t="s">
        <v>198</v>
      </c>
      <c r="O55" s="7" t="s">
        <v>287</v>
      </c>
      <c r="P55" t="s">
        <v>206</v>
      </c>
    </row>
    <row r="56" spans="1:16" ht="15.75" thickBot="1" x14ac:dyDescent="0.3">
      <c r="A56" s="15" t="s">
        <v>141</v>
      </c>
      <c r="B56">
        <v>164</v>
      </c>
      <c r="C56" s="10">
        <f>'[1] Missouri University of Science'!D2</f>
        <v>0.40153820148749153</v>
      </c>
      <c r="D56" s="14">
        <f>'[1] Missouri University of Science'!E2</f>
        <v>1246</v>
      </c>
      <c r="E56" s="14">
        <f>'[1] Missouri University of Science'!F2</f>
        <v>520</v>
      </c>
      <c r="F56" s="14">
        <f>'[1] Missouri University of Science'!G2</f>
        <v>2958</v>
      </c>
      <c r="G56" s="12">
        <f>'[1] Missouri University of Science'!H2</f>
        <v>0.42123056118999325</v>
      </c>
      <c r="H56" s="12">
        <f>'[1] Missouri University of Science'!I2</f>
        <v>0.17579445571331981</v>
      </c>
      <c r="I56" s="12">
        <f>'[1] Missouri University of Science'!J2</f>
        <v>0.40297498309668689</v>
      </c>
      <c r="J56" s="3">
        <f>D56/E56</f>
        <v>2.3961538461538461</v>
      </c>
      <c r="K56" s="1">
        <v>26152</v>
      </c>
      <c r="L56" s="1">
        <v>9628</v>
      </c>
      <c r="M56" s="2">
        <v>6841</v>
      </c>
      <c r="N56" t="s">
        <v>198</v>
      </c>
      <c r="O56" s="7" t="s">
        <v>247</v>
      </c>
      <c r="P56" t="s">
        <v>248</v>
      </c>
    </row>
    <row r="57" spans="1:16" ht="15.75" thickBot="1" x14ac:dyDescent="0.3">
      <c r="A57" s="15" t="s">
        <v>174</v>
      </c>
      <c r="B57">
        <v>210</v>
      </c>
      <c r="C57" s="10">
        <f>'[5]Montana State'!D2</f>
        <v>0.72050290135396544</v>
      </c>
      <c r="D57" s="14">
        <f>'[5]Montana State'!E2</f>
        <v>262</v>
      </c>
      <c r="E57" s="14">
        <f>'[5]Montana State'!F2</f>
        <v>48</v>
      </c>
      <c r="F57" s="14">
        <f>'[5]Montana State'!G2</f>
        <v>517</v>
      </c>
      <c r="G57" s="12">
        <f>'[5]Montana State'!H2</f>
        <v>0.50676982591876207</v>
      </c>
      <c r="H57" s="12">
        <f>'[5]Montana State'!I2</f>
        <v>9.2843326885880081E-2</v>
      </c>
      <c r="I57" s="12">
        <f>'[5]Montana State'!J2</f>
        <v>0.40038684719535789</v>
      </c>
      <c r="J57" s="3">
        <f>D57/E57</f>
        <v>5.458333333333333</v>
      </c>
      <c r="K57" s="1">
        <v>23042</v>
      </c>
      <c r="L57" s="1">
        <v>7031</v>
      </c>
      <c r="M57" s="2">
        <v>13707</v>
      </c>
      <c r="N57" t="s">
        <v>198</v>
      </c>
      <c r="O57" s="7" t="s">
        <v>398</v>
      </c>
      <c r="P57" t="s">
        <v>246</v>
      </c>
    </row>
    <row r="58" spans="1:16" ht="15.75" thickBot="1" x14ac:dyDescent="0.3">
      <c r="A58" s="15" t="s">
        <v>150</v>
      </c>
      <c r="B58">
        <v>176</v>
      </c>
      <c r="C58" s="10">
        <f>'[1]Montclair State University'!D2</f>
        <v>0.37045746962115811</v>
      </c>
      <c r="D58" s="14">
        <f>'[1]Montclair State University'!E2</f>
        <v>574</v>
      </c>
      <c r="E58" s="14">
        <f>'[1]Montclair State University'!F2</f>
        <v>258</v>
      </c>
      <c r="F58" s="14">
        <f>'[1]Montclair State University'!G2</f>
        <v>1399</v>
      </c>
      <c r="G58" s="12">
        <f>'[1]Montclair State University'!H2</f>
        <v>0.41029306647605435</v>
      </c>
      <c r="H58" s="12">
        <f>'[1]Montclair State University'!I2</f>
        <v>0.18441744102930666</v>
      </c>
      <c r="I58" s="12">
        <f>'[1]Montclair State University'!J2</f>
        <v>0.40528949249463897</v>
      </c>
      <c r="J58" s="3">
        <f>D58/E58</f>
        <v>2.2248062015503876</v>
      </c>
      <c r="K58" s="1">
        <v>20318</v>
      </c>
      <c r="L58" s="1">
        <v>11771</v>
      </c>
      <c r="M58" s="2">
        <v>16336</v>
      </c>
      <c r="N58" t="s">
        <v>198</v>
      </c>
      <c r="O58" s="7" t="s">
        <v>231</v>
      </c>
      <c r="P58" t="s">
        <v>216</v>
      </c>
    </row>
    <row r="59" spans="1:16" ht="15.75" thickBot="1" x14ac:dyDescent="0.3">
      <c r="A59" s="15" t="s">
        <v>123</v>
      </c>
      <c r="B59">
        <v>135</v>
      </c>
      <c r="C59" s="10">
        <f>[1]NJTech!D2</f>
        <v>0.31974472518885133</v>
      </c>
      <c r="D59" s="14">
        <f>[1]NJTech!E2</f>
        <v>1416</v>
      </c>
      <c r="E59" s="14">
        <f>[1]NJTech!F2</f>
        <v>771</v>
      </c>
      <c r="F59" s="14">
        <f>[1]NJTech!G2</f>
        <v>3839</v>
      </c>
      <c r="G59" s="12">
        <f>[1]NJTech!H2</f>
        <v>0.36884605365980722</v>
      </c>
      <c r="H59" s="12">
        <f>[1]NJTech!I2</f>
        <v>0.20083355040375098</v>
      </c>
      <c r="I59" s="12">
        <f>[1]NJTech!J2</f>
        <v>0.43032039593644178</v>
      </c>
      <c r="J59" s="3">
        <f>D59/E59</f>
        <v>1.8365758754863812</v>
      </c>
      <c r="K59" s="1">
        <v>30326</v>
      </c>
      <c r="L59" s="1">
        <v>16108</v>
      </c>
      <c r="M59" s="2">
        <v>8008</v>
      </c>
      <c r="N59" t="s">
        <v>198</v>
      </c>
      <c r="O59" s="7" t="s">
        <v>217</v>
      </c>
      <c r="P59" t="s">
        <v>216</v>
      </c>
    </row>
    <row r="60" spans="1:16" ht="15.75" thickBot="1" x14ac:dyDescent="0.3">
      <c r="A60" s="15" t="s">
        <v>181</v>
      </c>
      <c r="B60">
        <v>220</v>
      </c>
      <c r="C60" s="10">
        <f>'[5]New Mexico State University'!D2</f>
        <v>0.57334975369458119</v>
      </c>
      <c r="D60" s="14">
        <f>'[5]New Mexico State University'!E2</f>
        <v>89</v>
      </c>
      <c r="E60" s="14">
        <f>'[5]New Mexico State University'!F2</f>
        <v>22</v>
      </c>
      <c r="F60" s="14">
        <f>'[5]New Mexico State University'!G2</f>
        <v>203</v>
      </c>
      <c r="G60" s="12">
        <f>'[5]New Mexico State University'!H2</f>
        <v>0.43842364532019706</v>
      </c>
      <c r="H60" s="12">
        <f>'[5]New Mexico State University'!I2</f>
        <v>0.10837438423645321</v>
      </c>
      <c r="I60" s="12">
        <f>'[5]New Mexico State University'!J2</f>
        <v>0.45320197044334976</v>
      </c>
      <c r="J60" s="3">
        <f>D60/E60</f>
        <v>4.0454545454545459</v>
      </c>
      <c r="K60" s="1">
        <v>21234</v>
      </c>
      <c r="L60" s="1">
        <v>6729</v>
      </c>
      <c r="M60" s="2">
        <v>12526</v>
      </c>
      <c r="N60" t="s">
        <v>198</v>
      </c>
      <c r="O60" s="7" t="s">
        <v>407</v>
      </c>
      <c r="P60" t="s">
        <v>338</v>
      </c>
    </row>
    <row r="61" spans="1:16" ht="15.75" thickBot="1" x14ac:dyDescent="0.3">
      <c r="A61" s="15" t="s">
        <v>118</v>
      </c>
      <c r="B61">
        <v>129</v>
      </c>
      <c r="C61" s="10">
        <f>[4]TheNewSchool!D2</f>
        <v>0.71344827586206894</v>
      </c>
      <c r="D61" s="14">
        <f>[4]TheNewSchool!E2</f>
        <v>57</v>
      </c>
      <c r="E61" s="14">
        <f>[4]TheNewSchool!F2</f>
        <v>11</v>
      </c>
      <c r="F61" s="14">
        <f>[4]TheNewSchool!G2</f>
        <v>116</v>
      </c>
      <c r="G61" s="12">
        <f>[4]TheNewSchool!H2</f>
        <v>0.49137931034482757</v>
      </c>
      <c r="H61" s="12">
        <f>[4]TheNewSchool!I2</f>
        <v>9.4827586206896547E-2</v>
      </c>
      <c r="I61" s="12">
        <f>[4]TheNewSchool!J2</f>
        <v>0.41379310344827591</v>
      </c>
      <c r="J61" s="3">
        <f>D61/E61</f>
        <v>5.1818181818181817</v>
      </c>
      <c r="K61" s="1">
        <v>45535</v>
      </c>
      <c r="M61" s="2">
        <v>6792</v>
      </c>
      <c r="N61" t="s">
        <v>199</v>
      </c>
      <c r="O61" s="7" t="s">
        <v>251</v>
      </c>
      <c r="P61" t="s">
        <v>212</v>
      </c>
    </row>
    <row r="62" spans="1:16" ht="15.75" thickBot="1" x14ac:dyDescent="0.3">
      <c r="A62" s="15" t="s">
        <v>36</v>
      </c>
      <c r="B62" s="6">
        <v>36</v>
      </c>
      <c r="C62" s="10">
        <f>[7]NYU!D2</f>
        <v>0.51576193058568343</v>
      </c>
      <c r="D62" s="14">
        <f>[7]NYU!E2</f>
        <v>1638</v>
      </c>
      <c r="E62" s="14">
        <f>[7]NYU!F2</f>
        <v>501</v>
      </c>
      <c r="F62" s="14">
        <f>[7]NYU!G2</f>
        <v>3688</v>
      </c>
      <c r="G62" s="12">
        <f>[7]NYU!H2</f>
        <v>0.44414316702819956</v>
      </c>
      <c r="H62" s="12">
        <f>[7]NYU!I2</f>
        <v>0.13584598698481562</v>
      </c>
      <c r="I62" s="12">
        <f>[7]NYU!J2</f>
        <v>0.42001084598698479</v>
      </c>
      <c r="J62" s="3">
        <f>D62/E62</f>
        <v>3.2694610778443112</v>
      </c>
      <c r="K62" s="1">
        <v>49062</v>
      </c>
      <c r="M62" s="2">
        <v>25722</v>
      </c>
      <c r="N62" t="s">
        <v>199</v>
      </c>
      <c r="O62" s="7" t="s">
        <v>251</v>
      </c>
      <c r="P62" t="s">
        <v>212</v>
      </c>
    </row>
    <row r="63" spans="1:16" ht="15.75" thickBot="1" x14ac:dyDescent="0.3">
      <c r="A63" s="15" t="s">
        <v>85</v>
      </c>
      <c r="B63">
        <v>92</v>
      </c>
      <c r="C63" s="10">
        <f>'[4]North Carolina State University'!D2</f>
        <v>0.39260973030142809</v>
      </c>
      <c r="D63" s="14">
        <f>'[4]North Carolina State University'!E2</f>
        <v>1550</v>
      </c>
      <c r="E63" s="14">
        <f>'[4]North Carolina State University'!F2</f>
        <v>650</v>
      </c>
      <c r="F63" s="14">
        <f>'[4]North Carolina State University'!G2</f>
        <v>3782</v>
      </c>
      <c r="G63" s="12">
        <f>'[4]North Carolina State University'!H2</f>
        <v>0.4098360655737705</v>
      </c>
      <c r="H63" s="12">
        <f>'[4]North Carolina State University'!I2</f>
        <v>0.1718667371760973</v>
      </c>
      <c r="I63" s="12">
        <f>'[4]North Carolina State University'!J2</f>
        <v>0.41829719725013215</v>
      </c>
      <c r="J63" s="3">
        <f>D63/E63</f>
        <v>2.3846153846153846</v>
      </c>
      <c r="K63" s="1">
        <v>26399</v>
      </c>
      <c r="L63" s="1">
        <v>8880</v>
      </c>
      <c r="M63" s="2">
        <v>24111</v>
      </c>
      <c r="N63" t="s">
        <v>198</v>
      </c>
      <c r="O63" s="7" t="s">
        <v>245</v>
      </c>
      <c r="P63" t="s">
        <v>246</v>
      </c>
    </row>
    <row r="64" spans="1:16" ht="15.75" thickBot="1" x14ac:dyDescent="0.3">
      <c r="A64" s="15" t="s">
        <v>158</v>
      </c>
      <c r="B64">
        <v>188</v>
      </c>
      <c r="C64" s="10">
        <f>[1]NDSU!D2</f>
        <v>0.76154891304347838</v>
      </c>
      <c r="D64" s="14">
        <f>[1]NDSU!E2</f>
        <v>171</v>
      </c>
      <c r="E64" s="14">
        <f>[1]NDSU!F2</f>
        <v>37</v>
      </c>
      <c r="F64" s="14">
        <f>[1]NDSU!G2</f>
        <v>368</v>
      </c>
      <c r="G64" s="12">
        <f>[1]NDSU!H2</f>
        <v>0.46467391304347827</v>
      </c>
      <c r="H64" s="12">
        <f>[1]NDSU!I2</f>
        <v>0.10054347826086957</v>
      </c>
      <c r="I64" s="12">
        <f>[1]NDSU!J2</f>
        <v>0.43478260869565211</v>
      </c>
      <c r="J64" s="3">
        <f>[1]NDSU!K2</f>
        <v>4.6216216216216219</v>
      </c>
      <c r="K64" s="1">
        <v>19790</v>
      </c>
      <c r="L64" s="1">
        <v>9046</v>
      </c>
      <c r="M64" s="2">
        <v>12037</v>
      </c>
      <c r="N64" t="s">
        <v>198</v>
      </c>
      <c r="O64" s="7" t="s">
        <v>371</v>
      </c>
      <c r="P64" t="s">
        <v>372</v>
      </c>
    </row>
    <row r="65" spans="1:16" ht="15.75" thickBot="1" x14ac:dyDescent="0.3">
      <c r="A65" s="15" t="s">
        <v>40</v>
      </c>
      <c r="B65" s="6">
        <v>39</v>
      </c>
      <c r="C65" s="10">
        <f>'[7]Northeastern University '!D2</f>
        <v>0.41671208791208758</v>
      </c>
      <c r="D65" s="14">
        <f>'[7]Northeastern University '!E2</f>
        <v>1860</v>
      </c>
      <c r="E65" s="14">
        <f>'[7]Northeastern University '!F2</f>
        <v>726</v>
      </c>
      <c r="F65" s="14">
        <f>'[7]Northeastern University '!G2</f>
        <v>4550</v>
      </c>
      <c r="G65" s="12">
        <f>'[7]Northeastern University '!H2</f>
        <v>0.40879120879120878</v>
      </c>
      <c r="H65" s="12">
        <f>'[7]Northeastern University '!I2</f>
        <v>0.15956043956043955</v>
      </c>
      <c r="I65" s="12">
        <f>'[7]Northeastern University '!J2</f>
        <v>0.43164835164835169</v>
      </c>
      <c r="J65" s="3">
        <f>D65/E65</f>
        <v>2.5619834710743801</v>
      </c>
      <c r="K65" s="1">
        <v>47655</v>
      </c>
      <c r="M65" s="2">
        <v>13697</v>
      </c>
      <c r="N65" t="s">
        <v>199</v>
      </c>
      <c r="O65" s="7" t="s">
        <v>258</v>
      </c>
      <c r="P65" t="s">
        <v>236</v>
      </c>
    </row>
    <row r="66" spans="1:16" ht="15.75" thickBot="1" x14ac:dyDescent="0.3">
      <c r="A66" s="15" t="s">
        <v>177</v>
      </c>
      <c r="B66">
        <v>214</v>
      </c>
      <c r="C66" s="10">
        <f>'[5]Northern Illinois University'!D2</f>
        <v>0.46154158215010149</v>
      </c>
      <c r="D66" s="14">
        <f>'[5]Northern Illinois University'!E2</f>
        <v>1245</v>
      </c>
      <c r="E66" s="14">
        <f>'[5]Northern Illinois University'!F2</f>
        <v>527</v>
      </c>
      <c r="F66" s="14">
        <f>'[5]Northern Illinois University'!G2</f>
        <v>2958</v>
      </c>
      <c r="G66" s="12">
        <f>'[5]Northern Illinois University'!H2</f>
        <v>0.4208924949290061</v>
      </c>
      <c r="H66" s="12">
        <f>'[5]Northern Illinois University'!I2</f>
        <v>0.17816091954022989</v>
      </c>
      <c r="I66" s="12">
        <f>'[5]Northern Illinois University'!J2</f>
        <v>0.40094658553076401</v>
      </c>
      <c r="J66" s="3">
        <f>D66/E66</f>
        <v>2.3624288425047437</v>
      </c>
      <c r="K66" s="1">
        <v>23799</v>
      </c>
      <c r="L66" s="1">
        <v>14334</v>
      </c>
      <c r="M66" s="2">
        <v>15027</v>
      </c>
      <c r="N66" t="s">
        <v>198</v>
      </c>
      <c r="O66" s="7" t="s">
        <v>352</v>
      </c>
      <c r="P66" t="s">
        <v>221</v>
      </c>
    </row>
    <row r="67" spans="1:16" ht="15.75" thickBot="1" x14ac:dyDescent="0.3">
      <c r="A67" s="15" t="s">
        <v>16</v>
      </c>
      <c r="B67" s="6">
        <v>12</v>
      </c>
      <c r="C67" s="10">
        <f>[2]NorthWestern!D3</f>
        <v>0.62189902034664701</v>
      </c>
      <c r="D67" s="14">
        <f>[2]NorthWestern!E3</f>
        <v>627</v>
      </c>
      <c r="E67" s="14">
        <f>[2]NorthWestern!F3</f>
        <v>158</v>
      </c>
      <c r="F67" s="14">
        <f>[2]NorthWestern!G3</f>
        <v>1327</v>
      </c>
      <c r="G67" s="12">
        <f>[2]NorthWestern!H3</f>
        <v>0.4724943481537302</v>
      </c>
      <c r="H67" s="12">
        <f>[2]NorthWestern!I3</f>
        <v>0.11906556141672947</v>
      </c>
      <c r="I67" s="12">
        <f>[2]NorthWestern!J3</f>
        <v>0.40844009042954033</v>
      </c>
      <c r="J67" s="3">
        <f>D67/E67</f>
        <v>3.9683544303797467</v>
      </c>
      <c r="K67" s="1">
        <v>50855</v>
      </c>
      <c r="M67" s="2">
        <v>8314</v>
      </c>
      <c r="N67" t="s">
        <v>199</v>
      </c>
      <c r="O67" s="7" t="s">
        <v>355</v>
      </c>
      <c r="P67" t="s">
        <v>227</v>
      </c>
    </row>
    <row r="68" spans="1:16" ht="15.75" thickBot="1" x14ac:dyDescent="0.3">
      <c r="A68" s="15" t="s">
        <v>53</v>
      </c>
      <c r="B68" s="5">
        <v>54</v>
      </c>
      <c r="C68" s="10">
        <f>'[3]Ohio State Uni'!D2</f>
        <v>0.25174545454545444</v>
      </c>
      <c r="D68" s="14">
        <f>'[3]Ohio State Uni'!E2</f>
        <v>840</v>
      </c>
      <c r="E68" s="14">
        <f>'[3]Ohio State Uni'!F2</f>
        <v>472</v>
      </c>
      <c r="F68" s="14">
        <f>'[3]Ohio State Uni'!G2</f>
        <v>2200</v>
      </c>
      <c r="G68" s="12">
        <f>'[3]Ohio State Uni'!H2</f>
        <v>0.38181818181818183</v>
      </c>
      <c r="H68" s="12">
        <f>'[3]Ohio State Uni'!I2</f>
        <v>0.21454545454545454</v>
      </c>
      <c r="I68" s="12">
        <f>'[3]Ohio State Uni'!J2</f>
        <v>0.40363636363636357</v>
      </c>
      <c r="J68" s="3">
        <f>D68/E68</f>
        <v>1.7796610169491525</v>
      </c>
      <c r="K68" s="1">
        <v>29229</v>
      </c>
      <c r="L68" s="1">
        <v>10037</v>
      </c>
      <c r="M68" s="2">
        <v>45289</v>
      </c>
      <c r="N68" t="s">
        <v>198</v>
      </c>
      <c r="O68" s="7" t="s">
        <v>385</v>
      </c>
      <c r="P68" t="s">
        <v>297</v>
      </c>
    </row>
    <row r="69" spans="1:16" ht="15.75" thickBot="1" x14ac:dyDescent="0.3">
      <c r="A69" s="15" t="s">
        <v>130</v>
      </c>
      <c r="B69">
        <v>146</v>
      </c>
      <c r="C69" s="10">
        <f>'[1]Ohio University'!D2</f>
        <v>0.59741326137239781</v>
      </c>
      <c r="D69" s="14">
        <f>'[1]Ohio University'!E2</f>
        <v>1164</v>
      </c>
      <c r="E69" s="14">
        <f>'[1]Ohio University'!F2</f>
        <v>379</v>
      </c>
      <c r="F69" s="14">
        <f>'[1]Ohio University'!G2</f>
        <v>2594</v>
      </c>
      <c r="G69" s="12">
        <f>'[1]Ohio University'!H2</f>
        <v>0.44872783346183498</v>
      </c>
      <c r="H69" s="12">
        <f>'[1]Ohio University'!I2</f>
        <v>0.14610639938319198</v>
      </c>
      <c r="I69" s="12">
        <f>'[1]Ohio University'!J2</f>
        <v>0.4051657671549731</v>
      </c>
      <c r="J69" s="3">
        <f>D69/E69</f>
        <v>3.0712401055408969</v>
      </c>
      <c r="K69" s="1">
        <v>21208</v>
      </c>
      <c r="L69" s="1">
        <v>11744</v>
      </c>
      <c r="M69" s="2">
        <v>23513</v>
      </c>
      <c r="N69" t="s">
        <v>198</v>
      </c>
      <c r="O69" s="7" t="s">
        <v>289</v>
      </c>
      <c r="P69" t="s">
        <v>297</v>
      </c>
    </row>
    <row r="70" spans="1:16" ht="15.75" thickBot="1" x14ac:dyDescent="0.3">
      <c r="A70" s="15" t="s">
        <v>135</v>
      </c>
      <c r="B70">
        <v>152</v>
      </c>
      <c r="C70" s="10">
        <f>[1]OKState!D2</f>
        <v>0.50996026490066249</v>
      </c>
      <c r="D70" s="14">
        <f>[1]OKState!E2</f>
        <v>661</v>
      </c>
      <c r="E70" s="14">
        <f>[1]OKState!F2</f>
        <v>229</v>
      </c>
      <c r="F70" s="14">
        <f>[1]OKState!G2</f>
        <v>1510</v>
      </c>
      <c r="G70" s="12">
        <f>[1]OKState!H2</f>
        <v>0.43774834437086091</v>
      </c>
      <c r="H70" s="12">
        <f>[1]OKState!I2</f>
        <v>0.15165562913907285</v>
      </c>
      <c r="I70" s="12">
        <f>[1]OKState!J2</f>
        <v>0.41059602649006621</v>
      </c>
      <c r="J70" s="3">
        <f>D70/E70</f>
        <v>2.8864628820960698</v>
      </c>
      <c r="K70" s="1">
        <v>20978</v>
      </c>
      <c r="L70" s="1">
        <v>7778</v>
      </c>
      <c r="M70" s="2">
        <v>21046</v>
      </c>
      <c r="N70" t="s">
        <v>198</v>
      </c>
      <c r="O70" s="7" t="s">
        <v>307</v>
      </c>
      <c r="P70" t="s">
        <v>308</v>
      </c>
    </row>
    <row r="71" spans="1:16" ht="15.75" thickBot="1" x14ac:dyDescent="0.3">
      <c r="A71" s="15" t="s">
        <v>175</v>
      </c>
      <c r="B71">
        <v>210</v>
      </c>
      <c r="C71" s="10">
        <f>'[5]Old Dominion University'!D2</f>
        <v>0.38864143920595517</v>
      </c>
      <c r="D71" s="14">
        <f>'[5]Old Dominion University'!E2</f>
        <v>627</v>
      </c>
      <c r="E71" s="14">
        <f>'[5]Old Dominion University'!F2</f>
        <v>284</v>
      </c>
      <c r="F71" s="14">
        <f>'[5]Old Dominion University'!G2</f>
        <v>1612</v>
      </c>
      <c r="G71" s="12">
        <f>'[5]Old Dominion University'!H2</f>
        <v>0.38895781637717119</v>
      </c>
      <c r="H71" s="12">
        <f>'[5]Old Dominion University'!I2</f>
        <v>0.17617866004962779</v>
      </c>
      <c r="I71" s="12">
        <f>'[5]Old Dominion University'!J2</f>
        <v>0.43486352357320102</v>
      </c>
      <c r="J71" s="3">
        <f>D71/E71</f>
        <v>2.2077464788732395</v>
      </c>
      <c r="K71" s="1">
        <v>27028</v>
      </c>
      <c r="L71" s="1">
        <v>10048</v>
      </c>
      <c r="M71" s="2">
        <v>20101</v>
      </c>
      <c r="N71" t="s">
        <v>198</v>
      </c>
      <c r="O71" s="7" t="s">
        <v>396</v>
      </c>
      <c r="P71" t="s">
        <v>230</v>
      </c>
    </row>
    <row r="72" spans="1:16" ht="15.75" thickBot="1" x14ac:dyDescent="0.3">
      <c r="A72" s="15" t="s">
        <v>128</v>
      </c>
      <c r="B72">
        <v>143</v>
      </c>
      <c r="C72" s="10">
        <f>[1]OregonStateUniv!D2</f>
        <v>0.64972570267524488</v>
      </c>
      <c r="D72" s="14">
        <f>[1]OregonStateUniv!E2</f>
        <v>1492</v>
      </c>
      <c r="E72" s="14">
        <f>[1]OregonStateUniv!F2</f>
        <v>410</v>
      </c>
      <c r="F72" s="14">
        <f>[1]OregonStateUniv!G2</f>
        <v>2953</v>
      </c>
      <c r="G72" s="12">
        <f>[1]OregonStateUniv!H2</f>
        <v>0.50524889942431428</v>
      </c>
      <c r="H72" s="12">
        <f>[1]OregonStateUniv!I2</f>
        <v>0.1388418557399255</v>
      </c>
      <c r="I72" s="12">
        <f>[1]OregonStateUniv!J2</f>
        <v>0.35590924483576025</v>
      </c>
      <c r="J72" s="3">
        <f>D72/E72</f>
        <v>3.6390243902439026</v>
      </c>
      <c r="K72" s="1">
        <v>28846</v>
      </c>
      <c r="L72" s="1">
        <v>10366</v>
      </c>
      <c r="M72" s="2">
        <v>24612</v>
      </c>
      <c r="N72" t="s">
        <v>198</v>
      </c>
      <c r="O72" s="7" t="s">
        <v>364</v>
      </c>
      <c r="P72" t="s">
        <v>315</v>
      </c>
    </row>
    <row r="73" spans="1:16" ht="15.75" thickBot="1" x14ac:dyDescent="0.3">
      <c r="A73" s="15" t="s">
        <v>159</v>
      </c>
      <c r="B73">
        <v>188</v>
      </c>
      <c r="C73" s="10">
        <f>'[1]Pace University'!D2</f>
        <v>0.40597785977859785</v>
      </c>
      <c r="D73" s="14">
        <f>'[1]Pace University'!E2</f>
        <v>95</v>
      </c>
      <c r="E73" s="14">
        <f>'[1]Pace University'!F2</f>
        <v>39</v>
      </c>
      <c r="F73" s="14">
        <f>'[1]Pace University'!G2</f>
        <v>271</v>
      </c>
      <c r="G73" s="12">
        <f>'[1]Pace University'!H2</f>
        <v>0.35055350553505538</v>
      </c>
      <c r="H73" s="12">
        <f>'[1]Pace University'!I2</f>
        <v>0.14391143911439114</v>
      </c>
      <c r="I73" s="12">
        <f>'[1]Pace University'!J2</f>
        <v>0.50553505535055354</v>
      </c>
      <c r="J73" s="3">
        <f>D73/E73</f>
        <v>2.4358974358974357</v>
      </c>
      <c r="K73" s="1">
        <v>42772</v>
      </c>
      <c r="M73" s="2">
        <v>8747</v>
      </c>
      <c r="N73" t="s">
        <v>199</v>
      </c>
      <c r="O73" s="7" t="s">
        <v>251</v>
      </c>
      <c r="P73" t="s">
        <v>212</v>
      </c>
    </row>
    <row r="74" spans="1:16" ht="15.75" thickBot="1" x14ac:dyDescent="0.3">
      <c r="A74" s="15" t="s">
        <v>52</v>
      </c>
      <c r="B74" s="6">
        <v>50</v>
      </c>
      <c r="C74" s="10">
        <f>[7]PSU!D2</f>
        <v>0.41598164746052063</v>
      </c>
      <c r="D74" s="14">
        <f>[7]PSU!E2</f>
        <v>2030</v>
      </c>
      <c r="E74" s="14">
        <f>[7]PSU!F2</f>
        <v>873</v>
      </c>
      <c r="F74" s="14">
        <f>[7]PSU!G2</f>
        <v>4686</v>
      </c>
      <c r="G74" s="12">
        <f>[7]PSU!H2</f>
        <v>0.43320529236022193</v>
      </c>
      <c r="H74" s="12">
        <f>[7]PSU!I2</f>
        <v>0.18629961587708066</v>
      </c>
      <c r="I74" s="12">
        <f>[7]PSU!J2</f>
        <v>0.38049509176269747</v>
      </c>
      <c r="J74" s="3">
        <f>D74/E74</f>
        <v>2.325315005727377</v>
      </c>
      <c r="K74" s="1">
        <v>32382</v>
      </c>
      <c r="L74" s="1">
        <v>17900</v>
      </c>
      <c r="M74" s="2">
        <v>40742</v>
      </c>
      <c r="N74" t="s">
        <v>198</v>
      </c>
      <c r="O74" s="7" t="s">
        <v>254</v>
      </c>
      <c r="P74" t="s">
        <v>210</v>
      </c>
    </row>
    <row r="75" spans="1:16" ht="15.75" thickBot="1" x14ac:dyDescent="0.3">
      <c r="A75" s="15" t="s">
        <v>4</v>
      </c>
      <c r="B75" s="6">
        <v>1</v>
      </c>
      <c r="C75" s="10">
        <f>'[6]Princton University'!D2</f>
        <v>0.55331513260530418</v>
      </c>
      <c r="D75" s="14">
        <f>'[6]Princton University'!E2</f>
        <v>1098</v>
      </c>
      <c r="E75" s="14">
        <f>'[6]Princton University'!F2</f>
        <v>322</v>
      </c>
      <c r="F75" s="14">
        <f>'[6]Princton University'!G2</f>
        <v>2564</v>
      </c>
      <c r="G75" s="12">
        <f>'[6]Princton University'!H2</f>
        <v>0.42823712948517939</v>
      </c>
      <c r="H75" s="12">
        <f>'[6]Princton University'!I2</f>
        <v>0.12558502340093602</v>
      </c>
      <c r="I75" s="12">
        <f>'[6]Princton University'!J2</f>
        <v>0.44617784711388464</v>
      </c>
      <c r="J75" s="3">
        <f>D75/E75</f>
        <v>3.4099378881987579</v>
      </c>
      <c r="K75" s="1">
        <v>45320</v>
      </c>
      <c r="M75" s="2">
        <v>5402</v>
      </c>
      <c r="N75" t="s">
        <v>199</v>
      </c>
      <c r="O75" s="7" t="s">
        <v>330</v>
      </c>
      <c r="P75" t="s">
        <v>216</v>
      </c>
    </row>
    <row r="76" spans="1:16" ht="15.75" thickBot="1" x14ac:dyDescent="0.3">
      <c r="A76" s="15" t="s">
        <v>60</v>
      </c>
      <c r="B76" s="6">
        <v>60</v>
      </c>
      <c r="C76" s="10">
        <f>'[7]Purdue University'!D2</f>
        <v>0.40513944223107601</v>
      </c>
      <c r="D76" s="14">
        <f>'[7]Purdue University'!E2</f>
        <v>2172</v>
      </c>
      <c r="E76" s="14">
        <f>'[7]Purdue University'!F2</f>
        <v>942</v>
      </c>
      <c r="F76" s="14">
        <f>'[7]Purdue University'!G2</f>
        <v>5271</v>
      </c>
      <c r="G76" s="12">
        <f>'[7]Purdue University'!H2</f>
        <v>0.41206602162777461</v>
      </c>
      <c r="H76" s="12">
        <f>'[7]Purdue University'!I2</f>
        <v>0.17871371656232213</v>
      </c>
      <c r="I76" s="12">
        <f>'[7]Purdue University'!J2</f>
        <v>0.40922026180990323</v>
      </c>
      <c r="J76" s="3">
        <f>D76/E76</f>
        <v>2.3057324840764331</v>
      </c>
      <c r="K76" s="1">
        <v>28804</v>
      </c>
      <c r="L76" s="1">
        <v>10002</v>
      </c>
      <c r="M76" s="2">
        <v>29497</v>
      </c>
      <c r="N76" t="s">
        <v>198</v>
      </c>
      <c r="O76" s="7" t="s">
        <v>249</v>
      </c>
      <c r="P76" t="s">
        <v>250</v>
      </c>
    </row>
    <row r="77" spans="1:16" ht="15.75" thickBot="1" x14ac:dyDescent="0.3">
      <c r="A77" s="15" t="s">
        <v>41</v>
      </c>
      <c r="B77" s="6">
        <v>39</v>
      </c>
      <c r="C77" s="10">
        <f>[2]RPI!D3</f>
        <v>0.41761443187937503</v>
      </c>
      <c r="D77" s="14">
        <f>[2]RPI!E3</f>
        <v>792</v>
      </c>
      <c r="E77" s="14">
        <f>[2]RPI!F3</f>
        <v>332</v>
      </c>
      <c r="F77" s="14">
        <f>[2]RPI!G3</f>
        <v>1857</v>
      </c>
      <c r="G77" s="12">
        <f>[2]RPI!H3</f>
        <v>0.42649434571890144</v>
      </c>
      <c r="H77" s="12">
        <f>[2]RPI!I3</f>
        <v>0.17878298330640818</v>
      </c>
      <c r="I77" s="12">
        <f>[2]RPI!J3</f>
        <v>0.39472267097469038</v>
      </c>
      <c r="J77" s="3">
        <f>D77/E77</f>
        <v>2.3855421686746987</v>
      </c>
      <c r="K77" s="1">
        <v>50797</v>
      </c>
      <c r="M77" s="2">
        <v>5864</v>
      </c>
      <c r="N77" t="s">
        <v>199</v>
      </c>
      <c r="O77" s="7" t="s">
        <v>259</v>
      </c>
      <c r="P77" t="s">
        <v>212</v>
      </c>
    </row>
    <row r="78" spans="1:16" ht="15.75" thickBot="1" x14ac:dyDescent="0.3">
      <c r="A78" s="15" t="s">
        <v>18</v>
      </c>
      <c r="B78" s="5">
        <v>15</v>
      </c>
      <c r="C78" s="10">
        <f>[3]Riceuniversity!D577</f>
        <v>0.67293245469522278</v>
      </c>
      <c r="D78" s="14">
        <f>[3]Riceuniversity!E577</f>
        <v>297</v>
      </c>
      <c r="E78" s="14">
        <f>[3]Riceuniversity!F577</f>
        <v>82</v>
      </c>
      <c r="F78" s="14">
        <f>[3]Riceuniversity!G577</f>
        <v>607</v>
      </c>
      <c r="G78" s="12">
        <f>[3]Riceuniversity!H577</f>
        <v>0.48929159802306427</v>
      </c>
      <c r="H78" s="12">
        <f>[3]Riceuniversity!I577</f>
        <v>0.13509060955518945</v>
      </c>
      <c r="I78" s="12">
        <f>[3]Riceuniversity!J577</f>
        <v>0.37561779242174631</v>
      </c>
      <c r="J78" s="3">
        <f>D78/E78</f>
        <v>3.6219512195121952</v>
      </c>
      <c r="K78" s="1">
        <v>43918</v>
      </c>
      <c r="M78" s="2">
        <v>3910</v>
      </c>
      <c r="N78" t="s">
        <v>199</v>
      </c>
      <c r="O78" s="7" t="s">
        <v>233</v>
      </c>
      <c r="P78" t="s">
        <v>221</v>
      </c>
    </row>
    <row r="79" spans="1:16" ht="15.75" thickBot="1" x14ac:dyDescent="0.3">
      <c r="A79" s="15" t="s">
        <v>97</v>
      </c>
      <c r="B79">
        <v>107</v>
      </c>
      <c r="C79" s="10">
        <f>[4]RIT!D2</f>
        <v>0.37412831709774941</v>
      </c>
      <c r="D79" s="14">
        <f>[4]RIT!E2</f>
        <v>1201</v>
      </c>
      <c r="E79" s="14">
        <f>[4]RIT!F2</f>
        <v>529</v>
      </c>
      <c r="F79" s="14">
        <f>[4]RIT!G2</f>
        <v>2977</v>
      </c>
      <c r="G79" s="12">
        <f>[4]RIT!H2</f>
        <v>0.40342626805508902</v>
      </c>
      <c r="H79" s="12">
        <f>[4]RIT!I2</f>
        <v>0.17769566677863621</v>
      </c>
      <c r="I79" s="12">
        <f>[4]RIT!J2</f>
        <v>0.41887806516627479</v>
      </c>
      <c r="J79" s="3">
        <f>D79/E79</f>
        <v>2.2703213610586013</v>
      </c>
      <c r="K79" s="1">
        <v>38568</v>
      </c>
      <c r="M79" s="2">
        <v>12607</v>
      </c>
      <c r="N79" t="s">
        <v>199</v>
      </c>
      <c r="O79" s="7" t="s">
        <v>234</v>
      </c>
      <c r="P79" t="s">
        <v>212</v>
      </c>
    </row>
    <row r="80" spans="1:16" ht="15.75" thickBot="1" x14ac:dyDescent="0.3">
      <c r="A80" s="15" t="s">
        <v>66</v>
      </c>
      <c r="B80" s="6">
        <v>70</v>
      </c>
      <c r="C80" s="10">
        <f>'[7]Rutgers University'!D2</f>
        <v>0.30580409041980644</v>
      </c>
      <c r="D80" s="14">
        <f>'[7]Rutgers University'!E2</f>
        <v>1719</v>
      </c>
      <c r="E80" s="14">
        <f>'[7]Rutgers University'!F2</f>
        <v>908</v>
      </c>
      <c r="F80" s="14">
        <f>'[7]Rutgers University'!G2</f>
        <v>4645</v>
      </c>
      <c r="G80" s="12">
        <f>'[7]Rutgers University'!H2</f>
        <v>0.37007534983853607</v>
      </c>
      <c r="H80" s="12">
        <f>'[7]Rutgers University'!I2</f>
        <v>0.19547900968783638</v>
      </c>
      <c r="I80" s="12">
        <f>'[7]Rutgers University'!J2</f>
        <v>0.43444564047362755</v>
      </c>
      <c r="J80" s="3">
        <f>D80/E80</f>
        <v>1.8931718061674008</v>
      </c>
      <c r="K80" s="1">
        <v>30023</v>
      </c>
      <c r="L80" s="1">
        <v>14372</v>
      </c>
      <c r="M80" s="2">
        <v>35484</v>
      </c>
      <c r="N80" t="s">
        <v>198</v>
      </c>
      <c r="O80" s="7" t="s">
        <v>215</v>
      </c>
      <c r="P80" t="s">
        <v>216</v>
      </c>
    </row>
    <row r="81" spans="1:16" ht="15.75" thickBot="1" x14ac:dyDescent="0.3">
      <c r="A81" s="15" t="s">
        <v>89</v>
      </c>
      <c r="B81">
        <v>96</v>
      </c>
      <c r="C81" s="10">
        <f>'[4]Saint Louis University'!D2</f>
        <v>0.56635593220338998</v>
      </c>
      <c r="D81" s="14">
        <f>'[4]Saint Louis University'!E2</f>
        <v>187</v>
      </c>
      <c r="E81" s="14">
        <f>'[4]Saint Louis University'!F2</f>
        <v>63</v>
      </c>
      <c r="F81" s="14">
        <f>'[4]Saint Louis University'!G2</f>
        <v>472</v>
      </c>
      <c r="G81" s="12">
        <f>'[4]Saint Louis University'!H2</f>
        <v>0.3961864406779661</v>
      </c>
      <c r="H81" s="12">
        <f>'[4]Saint Louis University'!I2</f>
        <v>0.13347457627118645</v>
      </c>
      <c r="I81" s="12">
        <f>'[4]Saint Louis University'!J2</f>
        <v>0.47033898305084743</v>
      </c>
      <c r="J81" s="3">
        <f>D81/E81</f>
        <v>2.9682539682539684</v>
      </c>
      <c r="K81" s="1">
        <v>40726</v>
      </c>
      <c r="M81" s="2">
        <v>8248</v>
      </c>
      <c r="N81" t="s">
        <v>199</v>
      </c>
      <c r="O81" s="7" t="s">
        <v>334</v>
      </c>
      <c r="P81" t="s">
        <v>248</v>
      </c>
    </row>
    <row r="82" spans="1:16" ht="15.75" thickBot="1" x14ac:dyDescent="0.3">
      <c r="A82" s="15" t="s">
        <v>131</v>
      </c>
      <c r="B82">
        <v>146</v>
      </c>
      <c r="C82" s="10">
        <f>[1]Sheet25!D2</f>
        <v>0.60402892561983468</v>
      </c>
      <c r="D82" s="14">
        <f>[1]Sheet25!E2</f>
        <v>231</v>
      </c>
      <c r="E82" s="14">
        <f>[1]Sheet25!F2</f>
        <v>62</v>
      </c>
      <c r="F82" s="14">
        <f>[1]Sheet25!G2</f>
        <v>484</v>
      </c>
      <c r="G82" s="12">
        <f>[1]Sheet25!H2</f>
        <v>0.47727272727272729</v>
      </c>
      <c r="H82" s="12">
        <f>[1]Sheet25!I2</f>
        <v>0.128099173553719</v>
      </c>
      <c r="I82" s="12">
        <f>[1]Sheet25!J2</f>
        <v>0.39462809917355368</v>
      </c>
      <c r="J82" s="3">
        <f>D82/E82</f>
        <v>3.725806451612903</v>
      </c>
      <c r="K82" s="1">
        <v>18244</v>
      </c>
      <c r="L82" s="1">
        <v>7084</v>
      </c>
      <c r="M82" s="2">
        <v>29234</v>
      </c>
      <c r="N82" t="s">
        <v>198</v>
      </c>
      <c r="O82" s="7" t="s">
        <v>310</v>
      </c>
      <c r="P82" t="s">
        <v>210</v>
      </c>
    </row>
    <row r="83" spans="1:16" ht="15.75" thickBot="1" x14ac:dyDescent="0.3">
      <c r="A83" s="15" t="s">
        <v>108</v>
      </c>
      <c r="B83">
        <v>118</v>
      </c>
      <c r="C83" s="10">
        <f>'[4]Seton Hall'!D2</f>
        <v>0.61402116402116402</v>
      </c>
      <c r="D83" s="14">
        <f>'[4]Seton Hall'!E2</f>
        <v>80</v>
      </c>
      <c r="E83" s="14">
        <f>'[4]Seton Hall'!F2</f>
        <v>19</v>
      </c>
      <c r="F83" s="14">
        <f>'[4]Seton Hall'!G2</f>
        <v>189</v>
      </c>
      <c r="G83" s="12">
        <f>'[4]Seton Hall'!H2</f>
        <v>0.42328042328042326</v>
      </c>
      <c r="H83" s="12">
        <f>'[4]Seton Hall'!I2</f>
        <v>0.10052910052910052</v>
      </c>
      <c r="I83" s="12">
        <f>'[4]Seton Hall'!J2</f>
        <v>0.47619047619047628</v>
      </c>
      <c r="J83" s="3">
        <f>D83/E83</f>
        <v>4.2105263157894735</v>
      </c>
      <c r="K83" s="1">
        <v>39258</v>
      </c>
      <c r="M83" s="2">
        <v>6090</v>
      </c>
      <c r="N83" t="s">
        <v>199</v>
      </c>
      <c r="O83" s="7" t="s">
        <v>351</v>
      </c>
      <c r="P83" t="s">
        <v>216</v>
      </c>
    </row>
    <row r="84" spans="1:16" ht="15.75" thickBot="1" x14ac:dyDescent="0.3">
      <c r="A84" s="15" t="s">
        <v>178</v>
      </c>
      <c r="B84">
        <v>214</v>
      </c>
      <c r="C84" s="10">
        <f>'[5]Southern Illinois U Carbondale'!D2</f>
        <v>0.52276679841897244</v>
      </c>
      <c r="D84" s="14">
        <f>'[5]Southern Illinois U Carbondale'!E2</f>
        <v>230</v>
      </c>
      <c r="E84" s="14">
        <f>'[5]Southern Illinois U Carbondale'!F2</f>
        <v>81</v>
      </c>
      <c r="F84" s="14">
        <f>'[5]Southern Illinois U Carbondale'!G2</f>
        <v>506</v>
      </c>
      <c r="G84" s="12">
        <f>'[5]Southern Illinois U Carbondale'!H2</f>
        <v>0.45454545454545453</v>
      </c>
      <c r="H84" s="12">
        <f>'[5]Southern Illinois U Carbondale'!I2</f>
        <v>0.1600790513833992</v>
      </c>
      <c r="I84" s="12">
        <f>'[5]Southern Illinois U Carbondale'!J2</f>
        <v>0.38537549407114624</v>
      </c>
      <c r="J84" s="3">
        <f>D84/E84</f>
        <v>2.8395061728395063</v>
      </c>
      <c r="K84" s="1">
        <v>27130</v>
      </c>
      <c r="L84" s="1">
        <v>13481</v>
      </c>
      <c r="M84" s="2">
        <v>13031</v>
      </c>
      <c r="N84" t="s">
        <v>198</v>
      </c>
      <c r="O84" s="7" t="s">
        <v>400</v>
      </c>
      <c r="P84" t="s">
        <v>273</v>
      </c>
    </row>
    <row r="85" spans="1:16" ht="15.75" thickBot="1" x14ac:dyDescent="0.3">
      <c r="A85" s="15" t="s">
        <v>56</v>
      </c>
      <c r="B85">
        <v>56</v>
      </c>
      <c r="C85" s="10">
        <f>'[4]Southern Methodist University'!D2</f>
        <v>0.61597156398104291</v>
      </c>
      <c r="D85" s="14">
        <f>'[4]Southern Methodist University'!E2</f>
        <v>205</v>
      </c>
      <c r="E85" s="14">
        <f>'[4]Southern Methodist University'!F2</f>
        <v>58</v>
      </c>
      <c r="F85" s="14">
        <f>'[4]Southern Methodist University'!G2</f>
        <v>422</v>
      </c>
      <c r="G85" s="12">
        <f>'[4]Southern Methodist University'!H2</f>
        <v>0.48578199052132703</v>
      </c>
      <c r="H85" s="12">
        <f>'[4]Southern Methodist University'!I2</f>
        <v>0.13744075829383887</v>
      </c>
      <c r="I85" s="12">
        <f>'[4]Southern Methodist University'!J2</f>
        <v>0.37677725118483407</v>
      </c>
      <c r="J85" s="3">
        <f>D85/E85</f>
        <v>3.5344827586206895</v>
      </c>
      <c r="K85" s="1">
        <v>50358</v>
      </c>
      <c r="M85" s="2">
        <v>6411</v>
      </c>
      <c r="N85" t="s">
        <v>199</v>
      </c>
      <c r="O85" s="7" t="s">
        <v>352</v>
      </c>
      <c r="P85" t="s">
        <v>221</v>
      </c>
    </row>
    <row r="86" spans="1:16" ht="15.75" thickBot="1" x14ac:dyDescent="0.3">
      <c r="A86" s="15" t="s">
        <v>142</v>
      </c>
      <c r="B86">
        <v>164</v>
      </c>
      <c r="C86" s="10">
        <f>[1]STJOHNS!D2</f>
        <v>0.56816568047337279</v>
      </c>
      <c r="D86" s="14">
        <f>[1]STJOHNS!E2</f>
        <v>65</v>
      </c>
      <c r="E86" s="14">
        <f>[1]STJOHNS!F2</f>
        <v>15</v>
      </c>
      <c r="F86" s="14">
        <f>[1]STJOHNS!G2</f>
        <v>169</v>
      </c>
      <c r="G86" s="12">
        <f>[1]STJOHNS!H2</f>
        <v>0.38461538461538464</v>
      </c>
      <c r="H86" s="12">
        <f>[1]STJOHNS!I2</f>
        <v>8.8757396449704137E-2</v>
      </c>
      <c r="I86" s="12">
        <f>[1]STJOHNS!J2</f>
        <v>0.52662721893491127</v>
      </c>
      <c r="J86" s="3">
        <f>D86/E86</f>
        <v>4.333333333333333</v>
      </c>
      <c r="K86" s="1">
        <v>39460</v>
      </c>
      <c r="M86" s="2">
        <v>16210</v>
      </c>
      <c r="N86" t="s">
        <v>199</v>
      </c>
      <c r="O86" s="7" t="s">
        <v>335</v>
      </c>
      <c r="P86" t="s">
        <v>212</v>
      </c>
    </row>
    <row r="87" spans="1:16" ht="15.75" thickBot="1" x14ac:dyDescent="0.3">
      <c r="A87" s="15" t="s">
        <v>9</v>
      </c>
      <c r="B87" s="6">
        <v>5</v>
      </c>
      <c r="C87" s="10">
        <f>'[7]Stanford University'!D2</f>
        <v>0.63195411392405088</v>
      </c>
      <c r="D87" s="14">
        <f>'[7]Stanford University'!E2</f>
        <v>1874</v>
      </c>
      <c r="E87" s="14">
        <f>'[7]Stanford University'!F2</f>
        <v>486</v>
      </c>
      <c r="F87" s="14">
        <f>'[7]Stanford University'!G2</f>
        <v>3792</v>
      </c>
      <c r="G87" s="12">
        <f>'[7]Stanford University'!H2</f>
        <v>0.49419831223628691</v>
      </c>
      <c r="H87" s="12">
        <f>'[7]Stanford University'!I2</f>
        <v>0.12816455696202531</v>
      </c>
      <c r="I87" s="12">
        <f>'[7]Stanford University'!J2</f>
        <v>0.37763713080168781</v>
      </c>
      <c r="J87" s="3">
        <f>D87/E87</f>
        <v>3.8559670781893005</v>
      </c>
      <c r="K87" s="1">
        <v>47940</v>
      </c>
      <c r="M87" s="2">
        <v>6999</v>
      </c>
      <c r="N87" t="s">
        <v>199</v>
      </c>
      <c r="O87" s="7" t="s">
        <v>360</v>
      </c>
      <c r="P87" t="s">
        <v>210</v>
      </c>
    </row>
    <row r="88" spans="1:16" ht="15.75" thickBot="1" x14ac:dyDescent="0.3">
      <c r="A88" s="15" t="s">
        <v>90</v>
      </c>
      <c r="B88">
        <v>96</v>
      </c>
      <c r="C88" s="10">
        <f>[4]SBU!D2</f>
        <v>0.28646008924144739</v>
      </c>
      <c r="D88" s="14">
        <f>[4]SBU!E2</f>
        <v>1419</v>
      </c>
      <c r="E88" s="14">
        <f>[4]SBU!F2</f>
        <v>701</v>
      </c>
      <c r="F88" s="14">
        <f>[4]SBU!G2</f>
        <v>4034</v>
      </c>
      <c r="G88" s="12">
        <f>[4]SBU!H2</f>
        <v>0.35176003966286562</v>
      </c>
      <c r="H88" s="12">
        <f>[4]SBU!I2</f>
        <v>0.17377293009419931</v>
      </c>
      <c r="I88" s="12">
        <f>[4]SBU!J2</f>
        <v>0.47446703024293502</v>
      </c>
      <c r="J88" s="3">
        <f>D88/E88</f>
        <v>2.0242510699001426</v>
      </c>
      <c r="K88" s="1">
        <v>26266</v>
      </c>
      <c r="L88" s="1">
        <v>9026</v>
      </c>
      <c r="M88" s="2">
        <v>16831</v>
      </c>
      <c r="N88" t="s">
        <v>198</v>
      </c>
      <c r="O88" s="7" t="s">
        <v>211</v>
      </c>
      <c r="P88" t="s">
        <v>212</v>
      </c>
    </row>
    <row r="89" spans="1:16" ht="15.75" thickBot="1" x14ac:dyDescent="0.3">
      <c r="A89" s="15" t="s">
        <v>61</v>
      </c>
      <c r="B89">
        <v>60</v>
      </c>
      <c r="C89" s="10">
        <f>[4]SyracuseU!D2</f>
        <v>0.65493887530562311</v>
      </c>
      <c r="D89" s="14">
        <f>[4]SyracuseU!E2</f>
        <v>576</v>
      </c>
      <c r="E89" s="14">
        <f>[4]SyracuseU!F2</f>
        <v>156</v>
      </c>
      <c r="F89" s="14">
        <f>[4]SyracuseU!G2</f>
        <v>1227</v>
      </c>
      <c r="G89" s="12">
        <f>[4]SyracuseU!H2</f>
        <v>0.46943765281173594</v>
      </c>
      <c r="H89" s="12">
        <f>[4]SyracuseU!I2</f>
        <v>0.12713936430317849</v>
      </c>
      <c r="I89" s="12">
        <f>[4]SyracuseU!J2</f>
        <v>0.4034229828850856</v>
      </c>
      <c r="J89" s="3">
        <f>D89/E89</f>
        <v>3.6923076923076925</v>
      </c>
      <c r="K89" s="1">
        <v>45022</v>
      </c>
      <c r="M89" s="2">
        <v>15196</v>
      </c>
      <c r="N89" t="s">
        <v>199</v>
      </c>
      <c r="O89" s="7" t="s">
        <v>365</v>
      </c>
      <c r="P89" t="s">
        <v>212</v>
      </c>
    </row>
    <row r="90" spans="1:16" ht="15.75" thickBot="1" x14ac:dyDescent="0.3">
      <c r="A90" s="15" t="s">
        <v>109</v>
      </c>
      <c r="B90" s="5">
        <v>118</v>
      </c>
      <c r="C90" s="10">
        <f>[3]Temple!D2</f>
        <v>0.48292082501663303</v>
      </c>
      <c r="D90" s="14">
        <f>[3]Temple!E2</f>
        <v>672</v>
      </c>
      <c r="E90" s="14">
        <f>[3]Temple!F2</f>
        <v>249</v>
      </c>
      <c r="F90" s="14">
        <f>[3]Temple!G2</f>
        <v>1503</v>
      </c>
      <c r="G90" s="12">
        <f>[3]Temple!H2</f>
        <v>0.44710578842315368</v>
      </c>
      <c r="H90" s="12">
        <f>[3]Temple!I2</f>
        <v>0.16566866267465069</v>
      </c>
      <c r="I90" s="12">
        <f>[3]Temple!J2</f>
        <v>0.38722554890219563</v>
      </c>
      <c r="J90" s="3">
        <f>D90/E90</f>
        <v>2.6987951807228914</v>
      </c>
      <c r="K90" s="1">
        <v>25994</v>
      </c>
      <c r="L90" s="1">
        <v>15688</v>
      </c>
      <c r="M90" s="2">
        <v>28609</v>
      </c>
      <c r="N90" t="s">
        <v>198</v>
      </c>
      <c r="O90" s="7" t="s">
        <v>264</v>
      </c>
      <c r="P90" t="s">
        <v>265</v>
      </c>
    </row>
    <row r="91" spans="1:16" ht="15.75" thickBot="1" x14ac:dyDescent="0.3">
      <c r="A91" s="15" t="s">
        <v>182</v>
      </c>
      <c r="B91">
        <v>220</v>
      </c>
      <c r="C91" s="10">
        <f>'[5]Tennessee Tech University'!D2</f>
        <v>0.53428756476683914</v>
      </c>
      <c r="D91" s="14">
        <f>'[5]Tennessee Tech University'!E2</f>
        <v>314</v>
      </c>
      <c r="E91" s="14">
        <f>'[5]Tennessee Tech University'!F2</f>
        <v>115</v>
      </c>
      <c r="F91" s="14">
        <f>'[5]Tennessee Tech University'!G2</f>
        <v>772</v>
      </c>
      <c r="G91" s="12">
        <f>'[5]Tennessee Tech University'!H2</f>
        <v>0.40673575129533679</v>
      </c>
      <c r="H91" s="12">
        <f>'[5]Tennessee Tech University'!I2</f>
        <v>0.14896373056994819</v>
      </c>
      <c r="I91" s="12">
        <f>'[5]Tennessee Tech University'!J2</f>
        <v>0.44430051813471505</v>
      </c>
      <c r="J91" s="3">
        <f>D91/E91</f>
        <v>2.7304347826086954</v>
      </c>
      <c r="K91" s="1">
        <v>24800</v>
      </c>
      <c r="L91" s="1">
        <v>16311</v>
      </c>
      <c r="M91" s="2">
        <v>9801</v>
      </c>
      <c r="N91" t="s">
        <v>198</v>
      </c>
      <c r="O91" s="7" t="s">
        <v>402</v>
      </c>
      <c r="P91" t="s">
        <v>278</v>
      </c>
    </row>
    <row r="92" spans="1:16" ht="15.75" thickBot="1" x14ac:dyDescent="0.3">
      <c r="A92" s="15" t="s">
        <v>70</v>
      </c>
      <c r="B92" s="5">
        <v>74</v>
      </c>
      <c r="C92" s="10">
        <f>'[3]TexasA&amp;M'!D2</f>
        <v>0.42994332493702797</v>
      </c>
      <c r="D92" s="14">
        <f>'[3]TexasA&amp;M'!E2</f>
        <v>661</v>
      </c>
      <c r="E92" s="14">
        <f>'[3]TexasA&amp;M'!F2</f>
        <v>278</v>
      </c>
      <c r="F92" s="14">
        <f>'[3]TexasA&amp;M'!G2</f>
        <v>1588</v>
      </c>
      <c r="G92" s="12">
        <f>'[3]TexasA&amp;M'!H2</f>
        <v>0.41624685138539042</v>
      </c>
      <c r="H92" s="12">
        <f>'[3]TexasA&amp;M'!I2</f>
        <v>0.17506297229219145</v>
      </c>
      <c r="I92" s="12">
        <f>'[3]TexasA&amp;M'!J2</f>
        <v>0.40869017632241811</v>
      </c>
      <c r="J92" s="3">
        <f>D92/E92</f>
        <v>2.3776978417266186</v>
      </c>
      <c r="K92" s="1">
        <v>28768</v>
      </c>
      <c r="L92" s="1">
        <v>10176</v>
      </c>
      <c r="M92" s="2">
        <v>48960</v>
      </c>
      <c r="N92" t="s">
        <v>198</v>
      </c>
      <c r="O92" s="7" t="s">
        <v>387</v>
      </c>
      <c r="P92" t="s">
        <v>221</v>
      </c>
    </row>
    <row r="93" spans="1:16" ht="15.75" thickBot="1" x14ac:dyDescent="0.3">
      <c r="A93" s="15" t="s">
        <v>77</v>
      </c>
      <c r="B93">
        <v>82</v>
      </c>
      <c r="C93" s="10">
        <f>'[4]Texas Christian University'!D2</f>
        <v>0.6463037109375005</v>
      </c>
      <c r="D93" s="14">
        <f>'[4]Texas Christian University'!E2</f>
        <v>975</v>
      </c>
      <c r="E93" s="14">
        <f>'[4]Texas Christian University'!F2</f>
        <v>257</v>
      </c>
      <c r="F93" s="14">
        <f>'[4]Texas Christian University'!G2</f>
        <v>2048</v>
      </c>
      <c r="G93" s="12">
        <f>'[4]Texas Christian University'!H2</f>
        <v>0.47607421875</v>
      </c>
      <c r="H93" s="12">
        <f>'[4]Texas Christian University'!I2</f>
        <v>0.12548828125</v>
      </c>
      <c r="I93" s="12">
        <f>'[4]Texas Christian University'!J2</f>
        <v>0.3984375</v>
      </c>
      <c r="J93" s="3">
        <f>D93/E93</f>
        <v>3.7937743190661477</v>
      </c>
      <c r="K93" s="1">
        <v>42670</v>
      </c>
      <c r="M93" s="2">
        <v>8894</v>
      </c>
      <c r="N93" t="s">
        <v>199</v>
      </c>
      <c r="O93" s="7" t="s">
        <v>363</v>
      </c>
      <c r="P93" t="s">
        <v>221</v>
      </c>
    </row>
    <row r="94" spans="1:16" ht="15.75" thickBot="1" x14ac:dyDescent="0.3">
      <c r="A94" s="15" t="s">
        <v>151</v>
      </c>
      <c r="B94">
        <v>176</v>
      </c>
      <c r="C94" s="10">
        <f>[1]Sheet27!D2</f>
        <v>0.45224586288416091</v>
      </c>
      <c r="D94" s="14">
        <f>[1]Sheet27!E2</f>
        <v>350</v>
      </c>
      <c r="E94" s="14">
        <f>[1]Sheet27!F2</f>
        <v>142</v>
      </c>
      <c r="F94" s="14">
        <f>[1]Sheet27!G2</f>
        <v>846</v>
      </c>
      <c r="G94" s="12">
        <f>[1]Sheet27!H2</f>
        <v>0.41371158392434987</v>
      </c>
      <c r="H94" s="12">
        <f>[1]Sheet27!I2</f>
        <v>0.16784869976359337</v>
      </c>
      <c r="I94" s="12">
        <f>[1]Sheet27!J2</f>
        <v>0.41843971631205679</v>
      </c>
      <c r="J94" s="3">
        <f>D94/E94</f>
        <v>2.464788732394366</v>
      </c>
      <c r="K94" s="1">
        <v>22861</v>
      </c>
      <c r="L94" s="1">
        <v>10622</v>
      </c>
      <c r="M94" s="2">
        <v>29237</v>
      </c>
      <c r="N94" t="s">
        <v>198</v>
      </c>
      <c r="O94" s="7" t="s">
        <v>280</v>
      </c>
      <c r="P94" t="s">
        <v>221</v>
      </c>
    </row>
    <row r="95" spans="1:16" ht="15.75" thickBot="1" x14ac:dyDescent="0.3">
      <c r="A95" s="15" t="s">
        <v>29</v>
      </c>
      <c r="B95" s="6">
        <v>27</v>
      </c>
      <c r="C95" s="10">
        <f>[2]Tufts!D3</f>
        <v>0.37520612485276783</v>
      </c>
      <c r="D95" s="14">
        <f>[2]Tufts!E3</f>
        <v>951</v>
      </c>
      <c r="E95" s="14">
        <f>[2]Tufts!F3</f>
        <v>516</v>
      </c>
      <c r="F95" s="14">
        <f>[2]Tufts!G3</f>
        <v>2547</v>
      </c>
      <c r="G95" s="12">
        <f>[2]Tufts!H3</f>
        <v>0.37338044758539457</v>
      </c>
      <c r="H95" s="12">
        <f>[2]Tufts!I3</f>
        <v>0.20259128386336867</v>
      </c>
      <c r="I95" s="12">
        <f>[2]Tufts!J3</f>
        <v>0.42402826855123676</v>
      </c>
      <c r="J95" s="3">
        <f>D95/E95</f>
        <v>1.8430232558139534</v>
      </c>
      <c r="K95" s="1">
        <v>52430</v>
      </c>
      <c r="M95" s="2">
        <v>5290</v>
      </c>
      <c r="N95" t="s">
        <v>199</v>
      </c>
      <c r="O95" s="7" t="s">
        <v>235</v>
      </c>
      <c r="P95" t="s">
        <v>236</v>
      </c>
    </row>
    <row r="96" spans="1:16" ht="15.75" thickBot="1" x14ac:dyDescent="0.3">
      <c r="A96" s="15" t="s">
        <v>42</v>
      </c>
      <c r="B96" s="6">
        <v>39</v>
      </c>
      <c r="C96" s="10">
        <f>[2]Tulane!D3</f>
        <v>0.38747010698552553</v>
      </c>
      <c r="D96" s="14">
        <f>[2]Tulane!E3</f>
        <v>604</v>
      </c>
      <c r="E96" s="14">
        <f>[2]Tulane!F3</f>
        <v>225</v>
      </c>
      <c r="F96" s="14">
        <f>[2]Tulane!G3</f>
        <v>1589</v>
      </c>
      <c r="G96" s="12">
        <f>[2]Tulane!H3</f>
        <v>0.38011327879169288</v>
      </c>
      <c r="H96" s="12">
        <f>[2]Tulane!I3</f>
        <v>0.14159848961611077</v>
      </c>
      <c r="I96" s="12">
        <f>[2]Tulane!J3</f>
        <v>0.47828823159219636</v>
      </c>
      <c r="J96" s="3">
        <f>D96/E96</f>
        <v>2.6844444444444444</v>
      </c>
      <c r="K96" s="1">
        <v>51010</v>
      </c>
      <c r="M96" s="2">
        <v>6662</v>
      </c>
      <c r="N96" t="s">
        <v>199</v>
      </c>
      <c r="O96" s="7" t="s">
        <v>242</v>
      </c>
      <c r="P96" t="s">
        <v>243</v>
      </c>
    </row>
    <row r="97" spans="1:16" ht="15.75" thickBot="1" x14ac:dyDescent="0.3">
      <c r="A97" s="15" t="s">
        <v>132</v>
      </c>
      <c r="B97">
        <v>146</v>
      </c>
      <c r="C97" s="10">
        <f>[1]UAlbany!D2</f>
        <v>0.42197168857431738</v>
      </c>
      <c r="D97" s="14">
        <f>[1]UAlbany!E2</f>
        <v>399</v>
      </c>
      <c r="E97" s="14">
        <f>[1]UAlbany!F2</f>
        <v>150</v>
      </c>
      <c r="F97" s="14">
        <f>[1]UAlbany!G2</f>
        <v>989</v>
      </c>
      <c r="G97" s="12">
        <f>[1]UAlbany!H2</f>
        <v>0.40343781597573308</v>
      </c>
      <c r="H97" s="12">
        <f>[1]UAlbany!I2</f>
        <v>0.15166835187057634</v>
      </c>
      <c r="I97" s="12">
        <f>[1]UAlbany!J2</f>
        <v>0.4448938321536906</v>
      </c>
      <c r="J97" s="3">
        <f>D97/E97</f>
        <v>2.66</v>
      </c>
      <c r="K97" s="1">
        <v>22244</v>
      </c>
      <c r="L97" s="1">
        <v>9124</v>
      </c>
      <c r="M97" s="2">
        <v>12908</v>
      </c>
      <c r="N97" t="s">
        <v>198</v>
      </c>
      <c r="O97" s="7" t="s">
        <v>269</v>
      </c>
      <c r="P97" t="s">
        <v>212</v>
      </c>
    </row>
    <row r="98" spans="1:16" ht="15.75" thickBot="1" x14ac:dyDescent="0.3">
      <c r="A98" s="15" t="s">
        <v>93</v>
      </c>
      <c r="B98">
        <v>99</v>
      </c>
      <c r="C98" s="10">
        <f>'[4]University at buffalo'!D2</f>
        <v>0.34127334465195247</v>
      </c>
      <c r="D98" s="14">
        <f>'[4]University at buffalo'!E2</f>
        <v>1152</v>
      </c>
      <c r="E98" s="14">
        <f>'[4]University at buffalo'!F2</f>
        <v>520</v>
      </c>
      <c r="F98" s="14">
        <f>'[4]University at buffalo'!G2</f>
        <v>2945</v>
      </c>
      <c r="G98" s="12">
        <f>'[4]University at buffalo'!H2</f>
        <v>0.39117147707979627</v>
      </c>
      <c r="H98" s="12">
        <f>'[4]University at buffalo'!I2</f>
        <v>0.1765704584040747</v>
      </c>
      <c r="I98" s="12">
        <f>'[4]University at buffalo'!J2</f>
        <v>0.43225806451612903</v>
      </c>
      <c r="J98" s="3">
        <f>D98/E98</f>
        <v>2.2153846153846155</v>
      </c>
      <c r="K98" s="1">
        <v>26270</v>
      </c>
      <c r="L98" s="1">
        <v>9770</v>
      </c>
      <c r="M98" s="2">
        <v>19951</v>
      </c>
      <c r="N98" t="s">
        <v>198</v>
      </c>
      <c r="O98" s="7" t="s">
        <v>222</v>
      </c>
      <c r="P98" t="s">
        <v>212</v>
      </c>
    </row>
    <row r="99" spans="1:16" ht="15.75" thickBot="1" x14ac:dyDescent="0.3">
      <c r="A99" s="16" t="s">
        <v>94</v>
      </c>
      <c r="B99" s="6">
        <v>103</v>
      </c>
      <c r="C99" s="10">
        <f>'[7]University of Alabama'!D2</f>
        <v>0.51056666666666817</v>
      </c>
      <c r="D99" s="14">
        <f>'[7]University of Alabama'!E2</f>
        <v>2026</v>
      </c>
      <c r="E99" s="14">
        <f>'[7]University of Alabama'!F2</f>
        <v>740</v>
      </c>
      <c r="F99" s="14">
        <f>'[7]University of Alabama'!G2</f>
        <v>4500</v>
      </c>
      <c r="G99" s="12">
        <f>'[7]University of Alabama'!H2</f>
        <v>0.45022222222222225</v>
      </c>
      <c r="H99" s="12">
        <f>'[7]University of Alabama'!I2</f>
        <v>0.16444444444444445</v>
      </c>
      <c r="I99" s="12">
        <f>'[7]University of Alabama'!J2</f>
        <v>0.38533333333333331</v>
      </c>
      <c r="J99" s="3">
        <f>D99/E99</f>
        <v>2.7378378378378376</v>
      </c>
      <c r="K99" s="1">
        <v>26950</v>
      </c>
      <c r="L99" s="1">
        <v>10470</v>
      </c>
      <c r="M99" s="2">
        <v>31958</v>
      </c>
      <c r="N99" t="s">
        <v>198</v>
      </c>
      <c r="O99" s="7" t="s">
        <v>309</v>
      </c>
      <c r="P99" t="s">
        <v>267</v>
      </c>
    </row>
    <row r="100" spans="1:16" ht="15.75" thickBot="1" x14ac:dyDescent="0.3">
      <c r="A100" s="15" t="s">
        <v>170</v>
      </c>
      <c r="B100">
        <v>202</v>
      </c>
      <c r="C100" s="10">
        <f>'[5]University of Alaska Fairbanks'!D2</f>
        <v>0.65730650154798742</v>
      </c>
      <c r="D100" s="14">
        <f>'[5]University of Alaska Fairbanks'!E2</f>
        <v>164</v>
      </c>
      <c r="E100" s="14">
        <f>'[5]University of Alaska Fairbanks'!F2</f>
        <v>37</v>
      </c>
      <c r="F100" s="14">
        <f>'[5]University of Alaska Fairbanks'!G2</f>
        <v>323</v>
      </c>
      <c r="G100" s="12">
        <f>'[5]University of Alaska Fairbanks'!H2</f>
        <v>0.50773993808049533</v>
      </c>
      <c r="H100" s="12">
        <f>'[5]University of Alaska Fairbanks'!I2</f>
        <v>0.11455108359133127</v>
      </c>
      <c r="I100" s="12">
        <f>'[5]University of Alaska Fairbanks'!J2</f>
        <v>0.37770897832817341</v>
      </c>
      <c r="J100" s="3">
        <f>D100/E100</f>
        <v>4.4324324324324325</v>
      </c>
      <c r="K100" s="1">
        <v>22469</v>
      </c>
      <c r="L100" s="1">
        <v>7799</v>
      </c>
      <c r="M100" s="2">
        <v>7610</v>
      </c>
      <c r="N100" t="s">
        <v>198</v>
      </c>
      <c r="O100" s="7" t="s">
        <v>394</v>
      </c>
      <c r="P100" t="s">
        <v>395</v>
      </c>
    </row>
    <row r="101" spans="1:16" ht="15.75" thickBot="1" x14ac:dyDescent="0.3">
      <c r="A101" s="15" t="s">
        <v>115</v>
      </c>
      <c r="B101" s="6">
        <v>124</v>
      </c>
      <c r="C101" s="10">
        <f>'[7]University of Arizona'!D2</f>
        <v>0.61615783783783828</v>
      </c>
      <c r="D101" s="14">
        <f>'[7]University of Arizona'!E2</f>
        <v>2285</v>
      </c>
      <c r="E101" s="14">
        <f>'[7]University of Arizona'!F2</f>
        <v>653</v>
      </c>
      <c r="F101" s="14">
        <f>'[7]University of Arizona'!G2</f>
        <v>4625</v>
      </c>
      <c r="G101" s="12">
        <f>'[7]University of Arizona'!H2</f>
        <v>0.49405405405405406</v>
      </c>
      <c r="H101" s="12">
        <f>'[7]University of Arizona'!I2</f>
        <v>0.14118918918918918</v>
      </c>
      <c r="I101" s="12">
        <f>'[7]University of Arizona'!J2</f>
        <v>0.36475675675675678</v>
      </c>
      <c r="J101" s="3">
        <f>D101/E101</f>
        <v>3.4992343032159265</v>
      </c>
      <c r="K101" s="1">
        <v>30025</v>
      </c>
      <c r="L101" s="1">
        <v>10872</v>
      </c>
      <c r="M101" s="2">
        <v>33732</v>
      </c>
      <c r="N101" t="s">
        <v>198</v>
      </c>
      <c r="O101" s="7" t="s">
        <v>353</v>
      </c>
      <c r="P101" t="s">
        <v>354</v>
      </c>
    </row>
    <row r="102" spans="1:16" ht="15.75" thickBot="1" x14ac:dyDescent="0.3">
      <c r="A102" s="15" t="s">
        <v>124</v>
      </c>
      <c r="B102">
        <v>135</v>
      </c>
      <c r="C102" s="10">
        <f>[1]UArk!D2</f>
        <v>0.45444881889763783</v>
      </c>
      <c r="D102" s="14">
        <f>[1]UArk!E2</f>
        <v>97</v>
      </c>
      <c r="E102" s="14">
        <f>[1]UArk!F2</f>
        <v>35</v>
      </c>
      <c r="F102" s="14">
        <f>[1]UArk!G2</f>
        <v>254</v>
      </c>
      <c r="G102" s="12">
        <f>[1]UArk!H2</f>
        <v>0.38188976377952755</v>
      </c>
      <c r="H102" s="12">
        <f>[1]UArk!I2</f>
        <v>0.13779527559055119</v>
      </c>
      <c r="I102" s="12">
        <f>[1]UArk!J2</f>
        <v>0.48031496062992129</v>
      </c>
      <c r="J102" s="3">
        <f>D102/E102</f>
        <v>2.7714285714285714</v>
      </c>
      <c r="K102" s="1">
        <v>23168</v>
      </c>
      <c r="L102" s="1">
        <v>8820</v>
      </c>
      <c r="M102" s="2">
        <v>22159</v>
      </c>
      <c r="N102" t="s">
        <v>198</v>
      </c>
      <c r="O102" s="7" t="s">
        <v>282</v>
      </c>
      <c r="P102" t="s">
        <v>283</v>
      </c>
    </row>
    <row r="103" spans="1:16" ht="15.75" thickBot="1" x14ac:dyDescent="0.3">
      <c r="A103" s="15" t="s">
        <v>24</v>
      </c>
      <c r="B103" s="5">
        <v>20</v>
      </c>
      <c r="C103" s="10">
        <f>[3]UCBerkeley!D2</f>
        <v>0.5762293794186959</v>
      </c>
      <c r="D103" s="14">
        <f>[3]UCBerkeley!E2</f>
        <v>659</v>
      </c>
      <c r="E103" s="14">
        <f>[3]UCBerkeley!F2</f>
        <v>187</v>
      </c>
      <c r="F103" s="14">
        <f>[3]UCBerkeley!G2</f>
        <v>1273</v>
      </c>
      <c r="G103" s="12">
        <f>[3]UCBerkeley!H2</f>
        <v>0.51767478397486255</v>
      </c>
      <c r="H103" s="12">
        <f>[3]UCBerkeley!I2</f>
        <v>0.14689709347996857</v>
      </c>
      <c r="I103" s="12">
        <f>[3]UCBerkeley!J2</f>
        <v>0.33542812254516885</v>
      </c>
      <c r="J103" s="3">
        <f>D103/E103</f>
        <v>3.5240641711229945</v>
      </c>
      <c r="K103" s="1">
        <v>40191</v>
      </c>
      <c r="L103" s="1">
        <v>13509</v>
      </c>
      <c r="M103" s="2">
        <v>27496</v>
      </c>
      <c r="N103" t="s">
        <v>198</v>
      </c>
      <c r="O103" s="7" t="s">
        <v>375</v>
      </c>
      <c r="P103" t="s">
        <v>210</v>
      </c>
    </row>
    <row r="104" spans="1:16" ht="15.75" thickBot="1" x14ac:dyDescent="0.3">
      <c r="A104" s="15" t="s">
        <v>45</v>
      </c>
      <c r="B104" s="5">
        <v>44</v>
      </c>
      <c r="C104" s="10">
        <f>[3]UCDavis!D2</f>
        <v>0.50268895348837173</v>
      </c>
      <c r="D104" s="14">
        <f>[3]UCDavis!E2</f>
        <v>1611</v>
      </c>
      <c r="E104" s="14">
        <f>[3]UCDavis!F2</f>
        <v>556</v>
      </c>
      <c r="F104" s="14">
        <f>[3]UCDavis!G2</f>
        <v>3440</v>
      </c>
      <c r="G104" s="12">
        <f>[3]UCDavis!H2</f>
        <v>0.46831395348837207</v>
      </c>
      <c r="H104" s="12">
        <f>[3]UCDavis!I2</f>
        <v>0.16162790697674417</v>
      </c>
      <c r="I104" s="12">
        <f>[3]UCDavis!J2</f>
        <v>0.37005813953488376</v>
      </c>
      <c r="J104" s="3">
        <f>D104/E104</f>
        <v>2.8974820143884892</v>
      </c>
      <c r="K104" s="1">
        <v>40728</v>
      </c>
      <c r="L104" s="1">
        <v>14046</v>
      </c>
      <c r="M104" s="2">
        <v>28384</v>
      </c>
      <c r="N104" t="s">
        <v>198</v>
      </c>
      <c r="O104" s="7" t="s">
        <v>380</v>
      </c>
      <c r="P104" t="s">
        <v>210</v>
      </c>
    </row>
    <row r="105" spans="1:16" ht="15.75" thickBot="1" x14ac:dyDescent="0.3">
      <c r="A105" s="15" t="s">
        <v>43</v>
      </c>
      <c r="B105" s="6">
        <v>39</v>
      </c>
      <c r="C105" s="10">
        <f>[2]UCI!D3</f>
        <v>0.28475506072874446</v>
      </c>
      <c r="D105" s="14">
        <f>[2]UCI!E3</f>
        <v>1866</v>
      </c>
      <c r="E105" s="14">
        <f>[2]UCI!F3</f>
        <v>929</v>
      </c>
      <c r="F105" s="14">
        <f>[2]UCI!G3</f>
        <v>4940</v>
      </c>
      <c r="G105" s="12">
        <f>[2]UCI!H3</f>
        <v>0.37773279352226719</v>
      </c>
      <c r="H105" s="12">
        <f>[2]UCI!I3</f>
        <v>0.18805668016194332</v>
      </c>
      <c r="I105" s="12">
        <f>[2]UCI!J3</f>
        <v>0.43421052631578949</v>
      </c>
      <c r="J105" s="3">
        <f>D105/E105</f>
        <v>2.0086114101184069</v>
      </c>
      <c r="K105" s="1">
        <v>39458</v>
      </c>
      <c r="L105" s="1">
        <v>14750</v>
      </c>
      <c r="M105" s="2">
        <v>25256</v>
      </c>
      <c r="N105" t="s">
        <v>198</v>
      </c>
      <c r="O105" s="7" t="s">
        <v>209</v>
      </c>
      <c r="P105" t="s">
        <v>210</v>
      </c>
    </row>
    <row r="106" spans="1:16" ht="15.75" thickBot="1" x14ac:dyDescent="0.3">
      <c r="A106" s="15" t="s">
        <v>27</v>
      </c>
      <c r="B106" s="5">
        <v>24</v>
      </c>
      <c r="C106" s="10">
        <f>[3]UCLA!D2</f>
        <v>0.51787499999999997</v>
      </c>
      <c r="D106" s="14">
        <f>[3]UCLA!E2</f>
        <v>1519</v>
      </c>
      <c r="E106" s="14">
        <f>[3]UCLA!F2</f>
        <v>499</v>
      </c>
      <c r="F106" s="14">
        <f>[3]UCLA!G2</f>
        <v>3040</v>
      </c>
      <c r="G106" s="12">
        <f>[3]UCLA!H2</f>
        <v>0.49967105263157896</v>
      </c>
      <c r="H106" s="12">
        <f>[3]UCLA!I2</f>
        <v>0.16414473684210526</v>
      </c>
      <c r="I106" s="12">
        <f>[3]UCLA!J2</f>
        <v>0.33618421052631575</v>
      </c>
      <c r="J106" s="3">
        <f>D106/E106</f>
        <v>3.0440881763527052</v>
      </c>
      <c r="K106" s="1">
        <v>39518</v>
      </c>
      <c r="L106" s="1">
        <v>12836</v>
      </c>
      <c r="M106" s="2">
        <v>29585</v>
      </c>
      <c r="N106" t="s">
        <v>198</v>
      </c>
      <c r="O106" s="7" t="s">
        <v>347</v>
      </c>
      <c r="P106" t="s">
        <v>210</v>
      </c>
    </row>
    <row r="107" spans="1:16" ht="15.75" thickBot="1" x14ac:dyDescent="0.3">
      <c r="A107" s="15" t="s">
        <v>136</v>
      </c>
      <c r="B107">
        <v>152</v>
      </c>
      <c r="C107" s="10">
        <f>[1]UCMerced!D2</f>
        <v>0.49046431046431088</v>
      </c>
      <c r="D107" s="14">
        <f>[1]UCMerced!E2</f>
        <v>624</v>
      </c>
      <c r="E107" s="14">
        <f>[1]UCMerced!F2</f>
        <v>234</v>
      </c>
      <c r="F107" s="14">
        <f>[1]UCMerced!G2</f>
        <v>1443</v>
      </c>
      <c r="G107" s="12">
        <f>[1]UCMerced!H2</f>
        <v>0.43243243243243246</v>
      </c>
      <c r="H107" s="12">
        <f>[1]UCMerced!I2</f>
        <v>0.16216216216216217</v>
      </c>
      <c r="I107" s="12">
        <f>[1]UCMerced!J2</f>
        <v>0.40540540540540537</v>
      </c>
      <c r="J107" s="3">
        <f>D107/E107</f>
        <v>2.6666666666666665</v>
      </c>
      <c r="K107" s="1">
        <v>39944</v>
      </c>
      <c r="L107" s="1">
        <v>13262</v>
      </c>
      <c r="M107" s="2">
        <v>6237</v>
      </c>
      <c r="N107" t="s">
        <v>198</v>
      </c>
      <c r="O107" s="7" t="s">
        <v>291</v>
      </c>
      <c r="P107" t="s">
        <v>210</v>
      </c>
    </row>
    <row r="108" spans="1:16" ht="15.75" thickBot="1" x14ac:dyDescent="0.3">
      <c r="A108" s="15" t="s">
        <v>110</v>
      </c>
      <c r="B108">
        <v>118</v>
      </c>
      <c r="C108" s="10">
        <f>'[4]UC Riverside'!D2</f>
        <v>0.36577777777777759</v>
      </c>
      <c r="D108" s="14">
        <f>'[4]UC Riverside'!E2</f>
        <v>509</v>
      </c>
      <c r="E108" s="14">
        <f>'[4]UC Riverside'!F2</f>
        <v>234</v>
      </c>
      <c r="F108" s="14">
        <f>'[4]UC Riverside'!G2</f>
        <v>1215</v>
      </c>
      <c r="G108" s="12">
        <f>'[4]UC Riverside'!H2</f>
        <v>0.4189300411522634</v>
      </c>
      <c r="H108" s="12">
        <f>'[4]UC Riverside'!I2</f>
        <v>0.19259259259259259</v>
      </c>
      <c r="I108" s="12">
        <f>'[4]UC Riverside'!J2</f>
        <v>0.38847736625514395</v>
      </c>
      <c r="J108" s="3">
        <f>D108/E108</f>
        <v>2.175213675213675</v>
      </c>
      <c r="K108" s="1">
        <v>40263</v>
      </c>
      <c r="L108" s="1">
        <v>13581</v>
      </c>
      <c r="M108" s="2">
        <v>18608</v>
      </c>
      <c r="N108" t="s">
        <v>198</v>
      </c>
      <c r="O108" s="7" t="s">
        <v>228</v>
      </c>
      <c r="P108" t="s">
        <v>210</v>
      </c>
    </row>
    <row r="109" spans="1:16" ht="15.75" thickBot="1" x14ac:dyDescent="0.3">
      <c r="A109" s="15" t="s">
        <v>46</v>
      </c>
      <c r="B109">
        <v>44</v>
      </c>
      <c r="C109" s="10">
        <f>[2]UCSB!D3</f>
        <v>0.42188273265196324</v>
      </c>
      <c r="D109" s="14">
        <f>[2]UCSB!E3</f>
        <v>1612</v>
      </c>
      <c r="E109" s="14">
        <f>[2]UCSB!F3</f>
        <v>633</v>
      </c>
      <c r="F109" s="14">
        <f>[2]UCSB!G3</f>
        <v>3718</v>
      </c>
      <c r="G109" s="12">
        <f>[2]UCSB!H3</f>
        <v>0.43356643356643354</v>
      </c>
      <c r="H109" s="12">
        <f>[2]UCSB!I3</f>
        <v>0.17025282409897793</v>
      </c>
      <c r="I109" s="12">
        <f>[2]UCSB!J3</f>
        <v>0.39618074233458855</v>
      </c>
      <c r="J109" s="3">
        <f>D109/E109</f>
        <v>2.5466034755134279</v>
      </c>
      <c r="K109" s="1">
        <v>41387</v>
      </c>
      <c r="L109" s="1">
        <v>14705</v>
      </c>
      <c r="M109" s="2">
        <v>26590</v>
      </c>
      <c r="N109" t="s">
        <v>198</v>
      </c>
      <c r="O109" s="7" t="s">
        <v>379</v>
      </c>
      <c r="P109" t="s">
        <v>210</v>
      </c>
    </row>
    <row r="110" spans="1:16" ht="15.75" thickBot="1" x14ac:dyDescent="0.3">
      <c r="A110" s="15" t="s">
        <v>38</v>
      </c>
      <c r="B110" s="6">
        <v>37</v>
      </c>
      <c r="C110" s="10">
        <v>0.42188273265196324</v>
      </c>
      <c r="D110" s="14">
        <v>1612</v>
      </c>
      <c r="E110" s="14">
        <v>633</v>
      </c>
      <c r="F110" s="14">
        <v>3718</v>
      </c>
      <c r="G110" s="12">
        <v>0.43356643356643354</v>
      </c>
      <c r="H110" s="12">
        <v>0.17025282409897793</v>
      </c>
      <c r="I110" s="12">
        <v>0.39618074233458855</v>
      </c>
      <c r="J110" s="3">
        <f>D110/E110</f>
        <v>2.5466034755134279</v>
      </c>
      <c r="K110" s="1">
        <v>40704</v>
      </c>
      <c r="L110" s="1">
        <v>14022</v>
      </c>
      <c r="M110" s="2">
        <v>20607</v>
      </c>
      <c r="N110" t="s">
        <v>198</v>
      </c>
      <c r="O110" s="7" t="s">
        <v>268</v>
      </c>
      <c r="P110" t="s">
        <v>210</v>
      </c>
    </row>
    <row r="111" spans="1:16" ht="15.75" thickBot="1" x14ac:dyDescent="0.3">
      <c r="A111" s="15" t="s">
        <v>74</v>
      </c>
      <c r="B111">
        <v>79</v>
      </c>
      <c r="C111" s="10">
        <f>'[4]UC SantaCruz'!D2</f>
        <v>0.50292101341281636</v>
      </c>
      <c r="D111" s="14">
        <f>'[4]UC SantaCruz'!E2</f>
        <v>313</v>
      </c>
      <c r="E111" s="14">
        <f>'[4]UC SantaCruz'!F2</f>
        <v>92</v>
      </c>
      <c r="F111" s="14">
        <f>'[4]UC SantaCruz'!G2</f>
        <v>671</v>
      </c>
      <c r="G111" s="12">
        <f>'[4]UC SantaCruz'!H2</f>
        <v>0.46646795827123694</v>
      </c>
      <c r="H111" s="12">
        <f>'[4]UC SantaCruz'!I2</f>
        <v>0.13710879284649777</v>
      </c>
      <c r="I111" s="12">
        <f>'[4]UC SantaCruz'!J2</f>
        <v>0.39642324888226532</v>
      </c>
      <c r="J111" s="3">
        <f>D111/E111</f>
        <v>3.402173913043478</v>
      </c>
      <c r="K111" s="1">
        <v>40241</v>
      </c>
      <c r="L111" s="1">
        <v>13559</v>
      </c>
      <c r="M111" s="2">
        <v>16231</v>
      </c>
      <c r="N111" t="s">
        <v>198</v>
      </c>
      <c r="O111" s="7" t="s">
        <v>301</v>
      </c>
      <c r="P111" t="s">
        <v>210</v>
      </c>
    </row>
    <row r="112" spans="1:16" ht="15.75" thickBot="1" x14ac:dyDescent="0.3">
      <c r="A112" s="15" t="s">
        <v>152</v>
      </c>
      <c r="B112" s="6">
        <v>176</v>
      </c>
      <c r="C112" s="10">
        <f>'[7]University of Central Florida'!D2</f>
        <v>0.42965141612200453</v>
      </c>
      <c r="D112" s="14">
        <f>'[7]University of Central Florida'!E2</f>
        <v>1918</v>
      </c>
      <c r="E112" s="14">
        <f>'[7]University of Central Florida'!F2</f>
        <v>726</v>
      </c>
      <c r="F112" s="14">
        <f>'[7]University of Central Florida'!G2</f>
        <v>4590</v>
      </c>
      <c r="G112" s="12">
        <f>'[7]University of Central Florida'!H2</f>
        <v>0.41786492374727668</v>
      </c>
      <c r="H112" s="12">
        <f>'[7]University of Central Florida'!I2</f>
        <v>0.15816993464052287</v>
      </c>
      <c r="I112" s="12">
        <f>'[7]University of Central Florida'!J2</f>
        <v>0.42396514161220045</v>
      </c>
      <c r="J112" s="3">
        <f>D112/E112</f>
        <v>2.6418732782369148</v>
      </c>
      <c r="K112" s="1">
        <v>22467</v>
      </c>
      <c r="L112" s="1">
        <v>6368</v>
      </c>
      <c r="M112" s="2">
        <v>54513</v>
      </c>
      <c r="N112" t="s">
        <v>198</v>
      </c>
      <c r="O112" s="7" t="s">
        <v>272</v>
      </c>
      <c r="P112" t="s">
        <v>273</v>
      </c>
    </row>
    <row r="113" spans="1:16" ht="15.75" thickBot="1" x14ac:dyDescent="0.3">
      <c r="A113" s="15" t="s">
        <v>6</v>
      </c>
      <c r="B113" s="5">
        <v>3</v>
      </c>
      <c r="C113" s="10">
        <f>[3]Uofchicago!D2</f>
        <v>0.42837345003646954</v>
      </c>
      <c r="D113" s="14">
        <f>[3]Uofchicago!E2</f>
        <v>1175</v>
      </c>
      <c r="E113" s="14">
        <f>[3]Uofchicago!F2</f>
        <v>421</v>
      </c>
      <c r="F113" s="14">
        <f>[3]Uofchicago!G2</f>
        <v>2742</v>
      </c>
      <c r="G113" s="12">
        <f>[3]Uofchicago!H2</f>
        <v>0.42851932895696571</v>
      </c>
      <c r="H113" s="12">
        <f>[3]Uofchicago!I2</f>
        <v>0.15353756382202771</v>
      </c>
      <c r="I113" s="12">
        <f>[3]Uofchicago!J2</f>
        <v>0.41794310722100658</v>
      </c>
      <c r="J113" s="3">
        <f>D113/E113</f>
        <v>2.7909738717339669</v>
      </c>
      <c r="K113" s="1">
        <v>52491</v>
      </c>
      <c r="M113" s="2">
        <v>5844</v>
      </c>
      <c r="N113" t="s">
        <v>199</v>
      </c>
      <c r="O113" s="7" t="s">
        <v>362</v>
      </c>
      <c r="P113" t="s">
        <v>227</v>
      </c>
    </row>
    <row r="114" spans="1:16" ht="15.75" thickBot="1" x14ac:dyDescent="0.3">
      <c r="A114" s="15" t="s">
        <v>125</v>
      </c>
      <c r="B114">
        <v>135</v>
      </c>
      <c r="C114" s="10">
        <f>'[4]University of Cincinnati'!D2</f>
        <v>0.55039416846652245</v>
      </c>
      <c r="D114" s="14">
        <f>'[4]University of Cincinnati'!E2</f>
        <v>822</v>
      </c>
      <c r="E114" s="14">
        <f>'[4]University of Cincinnati'!F2</f>
        <v>269</v>
      </c>
      <c r="F114" s="14">
        <f>'[4]University of Cincinnati'!G2</f>
        <v>1852</v>
      </c>
      <c r="G114" s="12">
        <f>'[4]University of Cincinnati'!H2</f>
        <v>0.44384449244060475</v>
      </c>
      <c r="H114" s="12">
        <f>'[4]University of Cincinnati'!I2</f>
        <v>0.14524838012958963</v>
      </c>
      <c r="I114" s="12">
        <f>'[4]University of Cincinnati'!J2</f>
        <v>0.41090712742980562</v>
      </c>
      <c r="J114" s="3">
        <f>D114/E114</f>
        <v>3.0557620817843865</v>
      </c>
      <c r="K114" s="1">
        <v>26334</v>
      </c>
      <c r="L114" s="1">
        <v>11000</v>
      </c>
      <c r="M114" s="2">
        <v>25054</v>
      </c>
      <c r="N114" t="s">
        <v>198</v>
      </c>
      <c r="O114" s="7" t="s">
        <v>327</v>
      </c>
      <c r="P114" t="s">
        <v>297</v>
      </c>
    </row>
    <row r="115" spans="1:16" ht="15.75" thickBot="1" x14ac:dyDescent="0.3">
      <c r="A115" s="15" t="s">
        <v>86</v>
      </c>
      <c r="B115">
        <v>92</v>
      </c>
      <c r="C115" s="10">
        <f>[7]CUBoulder!D2</f>
        <v>0.49199956952216889</v>
      </c>
      <c r="D115" s="14">
        <f>[7]CUBoulder!E2</f>
        <v>2145</v>
      </c>
      <c r="E115" s="14">
        <f>[7]CUBoulder!F2</f>
        <v>797</v>
      </c>
      <c r="F115" s="14">
        <f>[7]CUBoulder!G2</f>
        <v>4646</v>
      </c>
      <c r="G115" s="12">
        <f>[7]CUBoulder!H2</f>
        <v>0.46168747309513558</v>
      </c>
      <c r="H115" s="12">
        <f>[7]CUBoulder!I2</f>
        <v>0.17154541541110632</v>
      </c>
      <c r="I115" s="12">
        <f>[7]CUBoulder!J2</f>
        <v>0.36676711149375807</v>
      </c>
      <c r="J115" s="3">
        <f>D115/E115</f>
        <v>2.6913425345043915</v>
      </c>
      <c r="K115" s="1">
        <v>35079</v>
      </c>
      <c r="L115" s="1">
        <v>11531</v>
      </c>
      <c r="M115" s="2">
        <v>27010</v>
      </c>
      <c r="N115" t="s">
        <v>198</v>
      </c>
      <c r="O115" s="7" t="s">
        <v>294</v>
      </c>
      <c r="P115" t="s">
        <v>295</v>
      </c>
    </row>
    <row r="116" spans="1:16" ht="15.75" thickBot="1" x14ac:dyDescent="0.3">
      <c r="A116" s="15" t="s">
        <v>165</v>
      </c>
      <c r="B116">
        <v>197</v>
      </c>
      <c r="C116" s="10">
        <f>'[1]CU Denver'!D2</f>
        <v>0.70191082802547755</v>
      </c>
      <c r="D116" s="14">
        <f>'[1]CU Denver'!E2</f>
        <v>77</v>
      </c>
      <c r="E116" s="14">
        <f>'[1]CU Denver'!F2</f>
        <v>16</v>
      </c>
      <c r="F116" s="14">
        <f>'[1]CU Denver'!G2</f>
        <v>157</v>
      </c>
      <c r="G116" s="12">
        <f>'[1]CU Denver'!H2</f>
        <v>0.49044585987261147</v>
      </c>
      <c r="H116" s="12">
        <f>'[1]CU Denver'!I2</f>
        <v>0.10191082802547771</v>
      </c>
      <c r="I116" s="12">
        <f>'[1]CU Denver'!J2</f>
        <v>0.40764331210191085</v>
      </c>
      <c r="J116" s="3">
        <f>D116/E116</f>
        <v>4.8125</v>
      </c>
      <c r="K116" s="1">
        <v>29334</v>
      </c>
      <c r="L116" s="1">
        <v>10404</v>
      </c>
      <c r="M116" s="2">
        <v>14036</v>
      </c>
      <c r="N116" t="s">
        <v>198</v>
      </c>
      <c r="O116" s="7" t="s">
        <v>367</v>
      </c>
      <c r="P116" t="s">
        <v>267</v>
      </c>
    </row>
    <row r="117" spans="1:16" ht="15.75" thickBot="1" x14ac:dyDescent="0.3">
      <c r="A117" s="15" t="s">
        <v>62</v>
      </c>
      <c r="B117">
        <v>60</v>
      </c>
      <c r="C117" s="10">
        <f>[4]UCONN!D2</f>
        <v>0.37158425832492425</v>
      </c>
      <c r="D117" s="14">
        <f>[4]UCONN!E2</f>
        <v>399</v>
      </c>
      <c r="E117" s="14">
        <f>[4]UCONN!F2</f>
        <v>165</v>
      </c>
      <c r="F117" s="14">
        <f>[4]UCONN!G2</f>
        <v>991</v>
      </c>
      <c r="G117" s="12">
        <f>[4]UCONN!H2</f>
        <v>0.40262361251261353</v>
      </c>
      <c r="H117" s="12">
        <f>[4]UCONN!I2</f>
        <v>0.16649848637739656</v>
      </c>
      <c r="I117" s="12">
        <f>[4]UCONN!J2</f>
        <v>0.43087790110998991</v>
      </c>
      <c r="J117" s="3">
        <f>D117/E117</f>
        <v>2.418181818181818</v>
      </c>
      <c r="K117" s="1">
        <v>35858</v>
      </c>
      <c r="L117" s="1">
        <v>14066</v>
      </c>
      <c r="M117" s="2">
        <v>18826</v>
      </c>
      <c r="N117" t="s">
        <v>198</v>
      </c>
      <c r="O117" s="7" t="s">
        <v>232</v>
      </c>
      <c r="P117" t="s">
        <v>208</v>
      </c>
    </row>
    <row r="118" spans="1:16" ht="15.75" thickBot="1" x14ac:dyDescent="0.3">
      <c r="A118" s="15" t="s">
        <v>102</v>
      </c>
      <c r="B118">
        <v>111</v>
      </c>
      <c r="C118" s="10">
        <f>'[4]University of Dayton'!D2</f>
        <v>0.49611982881597733</v>
      </c>
      <c r="D118" s="14">
        <f>'[4]University of Dayton'!E2</f>
        <v>301</v>
      </c>
      <c r="E118" s="14">
        <f>'[4]University of Dayton'!F2</f>
        <v>110</v>
      </c>
      <c r="F118" s="14">
        <f>'[4]University of Dayton'!G2</f>
        <v>701</v>
      </c>
      <c r="G118" s="12">
        <f>'[4]University of Dayton'!H2</f>
        <v>0.42938659058487877</v>
      </c>
      <c r="H118" s="12">
        <f>'[4]University of Dayton'!I2</f>
        <v>0.15691868758915833</v>
      </c>
      <c r="I118" s="12">
        <f>'[4]University of Dayton'!J2</f>
        <v>0.4136947218259629</v>
      </c>
      <c r="J118" s="3">
        <f>D118/E118</f>
        <v>2.7363636363636363</v>
      </c>
      <c r="K118" s="1">
        <v>40940</v>
      </c>
      <c r="M118" s="2">
        <v>8665</v>
      </c>
      <c r="N118" t="s">
        <v>199</v>
      </c>
      <c r="O118" s="7" t="s">
        <v>298</v>
      </c>
      <c r="P118" t="s">
        <v>297</v>
      </c>
    </row>
    <row r="119" spans="1:16" ht="15.75" thickBot="1" x14ac:dyDescent="0.3">
      <c r="A119" s="15" t="s">
        <v>75</v>
      </c>
      <c r="B119">
        <v>79</v>
      </c>
      <c r="C119" s="10">
        <f>'[4]University of Delaware'!D2</f>
        <v>0.44945172824791407</v>
      </c>
      <c r="D119" s="14">
        <f>'[4]University of Delaware'!E2</f>
        <v>734</v>
      </c>
      <c r="E119" s="14">
        <f>'[4]University of Delaware'!F2</f>
        <v>281</v>
      </c>
      <c r="F119" s="14">
        <f>'[4]University of Delaware'!G2</f>
        <v>1678</v>
      </c>
      <c r="G119" s="12">
        <f>'[4]University of Delaware'!H2</f>
        <v>0.43742550655542312</v>
      </c>
      <c r="H119" s="12">
        <f>'[4]University of Delaware'!I2</f>
        <v>0.16746126340882003</v>
      </c>
      <c r="I119" s="12">
        <f>'[4]University of Delaware'!J2</f>
        <v>0.39511323003575682</v>
      </c>
      <c r="J119" s="3">
        <f>D119/E119</f>
        <v>2.6120996441281137</v>
      </c>
      <c r="K119" s="1">
        <v>31420</v>
      </c>
      <c r="L119" s="1">
        <v>12520</v>
      </c>
      <c r="M119" s="2">
        <v>18322</v>
      </c>
      <c r="N119" t="s">
        <v>198</v>
      </c>
      <c r="O119" s="7" t="s">
        <v>217</v>
      </c>
      <c r="P119" t="s">
        <v>276</v>
      </c>
    </row>
    <row r="120" spans="1:16" ht="15.75" thickBot="1" x14ac:dyDescent="0.3">
      <c r="A120" s="15" t="s">
        <v>82</v>
      </c>
      <c r="B120">
        <v>86</v>
      </c>
      <c r="C120" s="10">
        <f>'[4]University of Denver'!D2</f>
        <v>0.68398945518453436</v>
      </c>
      <c r="D120" s="14">
        <f>'[4]University of Denver'!E2</f>
        <v>253</v>
      </c>
      <c r="E120" s="14">
        <f>'[4]University of Denver'!F2</f>
        <v>50</v>
      </c>
      <c r="F120" s="14">
        <f>'[4]University of Denver'!G2</f>
        <v>569</v>
      </c>
      <c r="G120" s="12">
        <f>'[4]University of Denver'!H2</f>
        <v>0.44463971880492092</v>
      </c>
      <c r="H120" s="12">
        <f>'[4]University of Denver'!I2</f>
        <v>8.7873462214411252E-2</v>
      </c>
      <c r="I120" s="12">
        <f>'[4]University of Denver'!J2</f>
        <v>0.4674868189806678</v>
      </c>
      <c r="J120" s="3">
        <f>D120/E120</f>
        <v>5.0599999999999996</v>
      </c>
      <c r="K120" s="1">
        <v>46362</v>
      </c>
      <c r="M120" s="2">
        <v>5758</v>
      </c>
      <c r="N120" t="s">
        <v>199</v>
      </c>
      <c r="O120" s="7" t="s">
        <v>340</v>
      </c>
      <c r="P120" t="s">
        <v>295</v>
      </c>
    </row>
    <row r="121" spans="1:16" ht="15.75" thickBot="1" x14ac:dyDescent="0.3">
      <c r="A121" s="15" t="s">
        <v>50</v>
      </c>
      <c r="B121" s="5">
        <v>50</v>
      </c>
      <c r="C121" s="10">
        <f>[3]UniversityofFlorida!D2</f>
        <v>0.60955073829720396</v>
      </c>
      <c r="D121" s="14">
        <f>[3]UniversityofFlorida!E2</f>
        <v>1582</v>
      </c>
      <c r="E121" s="14">
        <f>[3]UniversityofFlorida!F2</f>
        <v>429</v>
      </c>
      <c r="F121" s="14">
        <f>[3]UniversityofFlorida!G2</f>
        <v>3183</v>
      </c>
      <c r="G121" s="12">
        <f>[3]UniversityofFlorida!H2</f>
        <v>0.49701539428212377</v>
      </c>
      <c r="H121" s="12">
        <f>[3]UniversityofFlorida!I2</f>
        <v>0.1347785108388313</v>
      </c>
      <c r="I121" s="12">
        <f>[3]UniversityofFlorida!J2</f>
        <v>0.36820609487904488</v>
      </c>
      <c r="J121" s="3">
        <f>D121/E121</f>
        <v>3.6876456876456878</v>
      </c>
      <c r="K121" s="1">
        <v>28666</v>
      </c>
      <c r="L121" s="1">
        <v>6389</v>
      </c>
      <c r="M121" s="2">
        <v>35043</v>
      </c>
      <c r="N121" t="s">
        <v>198</v>
      </c>
      <c r="O121" s="7" t="s">
        <v>383</v>
      </c>
      <c r="P121" t="s">
        <v>265</v>
      </c>
    </row>
    <row r="122" spans="1:16" ht="15.75" thickBot="1" x14ac:dyDescent="0.3">
      <c r="A122" s="15" t="s">
        <v>57</v>
      </c>
      <c r="B122">
        <v>56</v>
      </c>
      <c r="C122" s="10">
        <f>'[4]University of Georgia'!D2</f>
        <v>0.47162447257383999</v>
      </c>
      <c r="D122" s="14">
        <f>'[4]University of Georgia'!E2</f>
        <v>1248</v>
      </c>
      <c r="E122" s="14">
        <f>'[4]University of Georgia'!F2</f>
        <v>469</v>
      </c>
      <c r="F122" s="14">
        <f>'[4]University of Georgia'!G2</f>
        <v>2844</v>
      </c>
      <c r="G122" s="12">
        <f>'[4]University of Georgia'!H2</f>
        <v>0.43881856540084391</v>
      </c>
      <c r="H122" s="12">
        <f>'[4]University of Georgia'!I2</f>
        <v>0.16490857946554149</v>
      </c>
      <c r="I122" s="12">
        <f>'[4]University of Georgia'!J2</f>
        <v>0.39627285513361454</v>
      </c>
      <c r="J122" s="3">
        <f>D122/E122</f>
        <v>2.6609808102345416</v>
      </c>
      <c r="K122" s="1">
        <v>29844</v>
      </c>
      <c r="L122" s="1">
        <v>11634</v>
      </c>
      <c r="M122" s="2">
        <v>27547</v>
      </c>
      <c r="N122" t="s">
        <v>198</v>
      </c>
      <c r="O122" s="7" t="s">
        <v>289</v>
      </c>
      <c r="P122" t="s">
        <v>238</v>
      </c>
    </row>
    <row r="123" spans="1:16" ht="15.75" thickBot="1" x14ac:dyDescent="0.3">
      <c r="A123" s="15" t="s">
        <v>160</v>
      </c>
      <c r="B123">
        <v>188</v>
      </c>
      <c r="C123" s="10">
        <f>[1]uhart!D2</f>
        <v>0.28244999999999992</v>
      </c>
      <c r="D123" s="14">
        <f>[1]uhart!E2</f>
        <v>75</v>
      </c>
      <c r="E123" s="14">
        <f>[1]uhart!F2</f>
        <v>34</v>
      </c>
      <c r="F123" s="14">
        <f>[1]uhart!G2</f>
        <v>200</v>
      </c>
      <c r="G123" s="12">
        <f>[1]uhart!H2</f>
        <v>0.375</v>
      </c>
      <c r="H123" s="12">
        <f>[1]uhart!I2</f>
        <v>0.17</v>
      </c>
      <c r="I123" s="12">
        <f>[1]uhart!J2</f>
        <v>0.45499999999999996</v>
      </c>
      <c r="J123" s="3">
        <f>D123/E123</f>
        <v>2.2058823529411766</v>
      </c>
      <c r="K123" s="1">
        <v>37790</v>
      </c>
      <c r="M123" s="2">
        <v>5246</v>
      </c>
      <c r="N123" t="s">
        <v>199</v>
      </c>
      <c r="O123" s="7" t="s">
        <v>207</v>
      </c>
      <c r="P123" t="s">
        <v>208</v>
      </c>
    </row>
    <row r="124" spans="1:16" ht="15.75" thickBot="1" x14ac:dyDescent="0.3">
      <c r="A124" s="15" t="s">
        <v>144</v>
      </c>
      <c r="B124" s="6">
        <v>169</v>
      </c>
      <c r="C124" s="10">
        <f>'[7]University of Hawaii'!D2</f>
        <v>0.49963755458515324</v>
      </c>
      <c r="D124" s="14">
        <f>'[7]University of Hawaii'!E2</f>
        <v>1000</v>
      </c>
      <c r="E124" s="14">
        <f>'[7]University of Hawaii'!F2</f>
        <v>348</v>
      </c>
      <c r="F124" s="14">
        <f>'[7]University of Hawaii'!G2</f>
        <v>2290</v>
      </c>
      <c r="G124" s="12">
        <f>'[7]University of Hawaii'!H2</f>
        <v>0.4366812227074236</v>
      </c>
      <c r="H124" s="12">
        <f>'[7]University of Hawaii'!I2</f>
        <v>0.15196506550218342</v>
      </c>
      <c r="I124" s="12">
        <f>'[7]University of Hawaii'!J2</f>
        <v>0.41135371179039293</v>
      </c>
      <c r="J124" s="3">
        <f>D124/E124</f>
        <v>2.8735632183908044</v>
      </c>
      <c r="K124" s="1">
        <v>33764</v>
      </c>
      <c r="L124" s="1">
        <v>11732</v>
      </c>
      <c r="M124" s="2">
        <v>13689</v>
      </c>
      <c r="N124" t="s">
        <v>198</v>
      </c>
      <c r="O124" s="7" t="s">
        <v>299</v>
      </c>
      <c r="P124" t="s">
        <v>300</v>
      </c>
    </row>
    <row r="125" spans="1:16" ht="15.75" thickBot="1" x14ac:dyDescent="0.3">
      <c r="A125" s="15" t="s">
        <v>162</v>
      </c>
      <c r="B125">
        <v>194</v>
      </c>
      <c r="C125" s="10">
        <f>[1]UniversityOfHouston!D2</f>
        <v>0.37356154406409314</v>
      </c>
      <c r="D125" s="14">
        <f>[1]UniversityOfHouston!E2</f>
        <v>531</v>
      </c>
      <c r="E125" s="14">
        <f>[1]UniversityOfHouston!F2</f>
        <v>226</v>
      </c>
      <c r="F125" s="14">
        <f>[1]UniversityOfHouston!G2</f>
        <v>1373</v>
      </c>
      <c r="G125" s="12">
        <f>[1]UniversityOfHouston!H2</f>
        <v>0.38674435542607427</v>
      </c>
      <c r="H125" s="12">
        <f>[1]UniversityOfHouston!I2</f>
        <v>0.16460305899490169</v>
      </c>
      <c r="I125" s="12">
        <f>[1]UniversityOfHouston!J2</f>
        <v>0.44865258557902399</v>
      </c>
      <c r="J125" s="3">
        <f>D125/E125</f>
        <v>2.3495575221238938</v>
      </c>
      <c r="K125" s="1">
        <v>25410</v>
      </c>
      <c r="L125" s="1">
        <v>10710</v>
      </c>
      <c r="M125" s="2">
        <v>34716</v>
      </c>
      <c r="N125" t="s">
        <v>198</v>
      </c>
      <c r="O125" s="7" t="s">
        <v>233</v>
      </c>
      <c r="P125" t="s">
        <v>221</v>
      </c>
    </row>
    <row r="126" spans="1:16" ht="15.75" thickBot="1" x14ac:dyDescent="0.3">
      <c r="A126" s="15" t="s">
        <v>145</v>
      </c>
      <c r="B126">
        <v>171</v>
      </c>
      <c r="C126" s="10">
        <f>'[1]University of Idaho'!D2</f>
        <v>0.52443037974683526</v>
      </c>
      <c r="D126" s="14">
        <f>'[1]University of Idaho'!E2</f>
        <v>483</v>
      </c>
      <c r="E126" s="14">
        <f>'[1]University of Idaho'!F2</f>
        <v>184</v>
      </c>
      <c r="F126" s="14">
        <f>'[1]University of Idaho'!G2</f>
        <v>1106</v>
      </c>
      <c r="G126" s="12">
        <f>'[1]University of Idaho'!H2</f>
        <v>0.43670886075949367</v>
      </c>
      <c r="H126" s="12">
        <f>'[1]University of Idaho'!I2</f>
        <v>0.16636528028933092</v>
      </c>
      <c r="I126" s="12">
        <f>'[1]University of Idaho'!J2</f>
        <v>0.39692585895117538</v>
      </c>
      <c r="J126" s="3">
        <f>D126/E126</f>
        <v>2.625</v>
      </c>
      <c r="K126" s="1">
        <v>22040</v>
      </c>
      <c r="L126" s="1">
        <v>7232</v>
      </c>
      <c r="M126" s="2">
        <v>9116</v>
      </c>
      <c r="N126" t="s">
        <v>198</v>
      </c>
      <c r="O126" s="7" t="s">
        <v>319</v>
      </c>
      <c r="P126" t="s">
        <v>320</v>
      </c>
    </row>
    <row r="127" spans="1:16" ht="15.75" thickBot="1" x14ac:dyDescent="0.3">
      <c r="A127" s="15" t="s">
        <v>47</v>
      </c>
      <c r="B127" s="6">
        <v>44</v>
      </c>
      <c r="C127" s="10">
        <f>[7]UIUC!D2</f>
        <v>0.35654046028210801</v>
      </c>
      <c r="D127" s="14">
        <f>[7]UIUC!E2</f>
        <v>2118</v>
      </c>
      <c r="E127" s="14">
        <f>[7]UIUC!F2</f>
        <v>934</v>
      </c>
      <c r="F127" s="14">
        <f>[7]UIUC!G2</f>
        <v>5388</v>
      </c>
      <c r="G127" s="12">
        <f>[7]UIUC!H2</f>
        <v>0.39309576837416482</v>
      </c>
      <c r="H127" s="12">
        <f>[7]UIUC!I2</f>
        <v>0.17334818114328138</v>
      </c>
      <c r="I127" s="12">
        <f>[7]UIUC!J2</f>
        <v>0.43355605048255375</v>
      </c>
      <c r="J127" s="3">
        <f>D127/E127</f>
        <v>2.2676659528907921</v>
      </c>
      <c r="K127" s="1">
        <v>31320</v>
      </c>
      <c r="L127" s="1">
        <v>15698</v>
      </c>
      <c r="M127" s="2">
        <v>33368</v>
      </c>
      <c r="N127" t="s">
        <v>198</v>
      </c>
      <c r="O127" s="7" t="s">
        <v>226</v>
      </c>
      <c r="P127" t="s">
        <v>227</v>
      </c>
    </row>
    <row r="128" spans="1:16" ht="15.75" thickBot="1" x14ac:dyDescent="0.3">
      <c r="A128" s="15" t="s">
        <v>78</v>
      </c>
      <c r="B128">
        <v>82</v>
      </c>
      <c r="C128" s="10">
        <f>'[4]University of Iowa'!D2</f>
        <v>0.52307647740440322</v>
      </c>
      <c r="D128" s="14">
        <f>'[4]University of Iowa'!E2</f>
        <v>1570</v>
      </c>
      <c r="E128" s="14">
        <f>'[4]University of Iowa'!F2</f>
        <v>537</v>
      </c>
      <c r="F128" s="14">
        <f>'[4]University of Iowa'!G2</f>
        <v>3452</v>
      </c>
      <c r="G128" s="12">
        <f>'[4]University of Iowa'!H2</f>
        <v>0.45480880648899191</v>
      </c>
      <c r="H128" s="12">
        <f>'[4]University of Iowa'!I2</f>
        <v>0.1555619930475087</v>
      </c>
      <c r="I128" s="12">
        <f>'[4]University of Iowa'!J2</f>
        <v>0.38962920046349936</v>
      </c>
      <c r="J128" s="3">
        <f>D128/E128</f>
        <v>2.9236499068901303</v>
      </c>
      <c r="K128" s="1">
        <v>28413</v>
      </c>
      <c r="L128" s="1">
        <v>8325</v>
      </c>
      <c r="M128" s="2">
        <v>23357</v>
      </c>
      <c r="N128" t="s">
        <v>198</v>
      </c>
      <c r="O128" s="7" t="s">
        <v>316</v>
      </c>
      <c r="P128" t="s">
        <v>241</v>
      </c>
    </row>
    <row r="129" spans="1:16" ht="15.75" thickBot="1" x14ac:dyDescent="0.3">
      <c r="A129" s="15" t="s">
        <v>111</v>
      </c>
      <c r="B129">
        <v>118</v>
      </c>
      <c r="C129" s="10">
        <f>[4]UniversityofKansas!D2</f>
        <v>0.49131495227995775</v>
      </c>
      <c r="D129" s="14">
        <f>[4]UniversityofKansas!E2</f>
        <v>1273</v>
      </c>
      <c r="E129" s="14">
        <f>[4]UniversityofKansas!F2</f>
        <v>500</v>
      </c>
      <c r="F129" s="14">
        <f>[4]UniversityofKansas!G2</f>
        <v>2829</v>
      </c>
      <c r="G129" s="12">
        <f>[4]UniversityofKansas!H2</f>
        <v>0.44998232591021564</v>
      </c>
      <c r="H129" s="12">
        <f>[4]UniversityofKansas!I2</f>
        <v>0.17674089784376104</v>
      </c>
      <c r="I129" s="12">
        <f>[4]UniversityofKansas!J2</f>
        <v>0.37327677624602329</v>
      </c>
      <c r="J129" s="3">
        <f>D129/E129</f>
        <v>2.5459999999999998</v>
      </c>
      <c r="K129" s="1">
        <v>25932</v>
      </c>
      <c r="L129" s="1">
        <v>10549</v>
      </c>
      <c r="M129" s="2">
        <v>19245</v>
      </c>
      <c r="N129" t="s">
        <v>198</v>
      </c>
      <c r="O129" s="7" t="s">
        <v>292</v>
      </c>
      <c r="P129" t="s">
        <v>293</v>
      </c>
    </row>
    <row r="130" spans="1:16" ht="15.75" thickBot="1" x14ac:dyDescent="0.3">
      <c r="A130" s="15" t="s">
        <v>120</v>
      </c>
      <c r="B130" s="5">
        <v>133</v>
      </c>
      <c r="C130" s="10">
        <f>[3]UniversityofKentucky!D2</f>
        <v>0.53089206066012495</v>
      </c>
      <c r="D130" s="14">
        <f>[3]UniversityofKentucky!E2</f>
        <v>504</v>
      </c>
      <c r="E130" s="14">
        <f>[3]UniversityofKentucky!F2</f>
        <v>172</v>
      </c>
      <c r="F130" s="14">
        <f>[3]UniversityofKentucky!G2</f>
        <v>1121</v>
      </c>
      <c r="G130" s="12">
        <f>[3]UniversityofKentucky!H2</f>
        <v>0.44959857270294379</v>
      </c>
      <c r="H130" s="12">
        <f>[3]UniversityofKentucky!I2</f>
        <v>0.15343443354148081</v>
      </c>
      <c r="I130" s="12">
        <f>[3]UniversityofKentucky!J2</f>
        <v>0.39696699375557543</v>
      </c>
      <c r="J130" s="3">
        <f>D130/E130</f>
        <v>2.9302325581395348</v>
      </c>
      <c r="K130" s="1">
        <v>26334</v>
      </c>
      <c r="L130" s="1">
        <v>11484</v>
      </c>
      <c r="M130" s="2">
        <v>22705</v>
      </c>
      <c r="N130" t="s">
        <v>198</v>
      </c>
      <c r="O130" s="7" t="s">
        <v>392</v>
      </c>
      <c r="P130" t="s">
        <v>312</v>
      </c>
    </row>
    <row r="131" spans="1:16" ht="15.75" thickBot="1" x14ac:dyDescent="0.3">
      <c r="A131" s="15" t="s">
        <v>146</v>
      </c>
      <c r="B131">
        <v>171</v>
      </c>
      <c r="C131" s="10">
        <f>'[1]U of Louisville'!D2</f>
        <v>0.51631205673758873</v>
      </c>
      <c r="D131" s="14">
        <f>'[1]U of Louisville'!E2</f>
        <v>585</v>
      </c>
      <c r="E131" s="14">
        <f>'[1]U of Louisville'!F2</f>
        <v>241</v>
      </c>
      <c r="F131" s="14">
        <f>'[1]U of Louisville'!G2</f>
        <v>1410</v>
      </c>
      <c r="G131" s="12">
        <f>'[1]U of Louisville'!H2</f>
        <v>0.41489361702127658</v>
      </c>
      <c r="H131" s="12">
        <f>'[1]U of Louisville'!I2</f>
        <v>0.17092198581560283</v>
      </c>
      <c r="I131" s="12">
        <f>'[1]U of Louisville'!J2</f>
        <v>0.41418439716312061</v>
      </c>
      <c r="J131" s="3">
        <f>D131/E131</f>
        <v>2.4273858921161824</v>
      </c>
      <c r="K131" s="1">
        <v>24626</v>
      </c>
      <c r="L131" s="1">
        <v>10738</v>
      </c>
      <c r="M131" s="2">
        <v>15769</v>
      </c>
      <c r="N131" t="s">
        <v>198</v>
      </c>
      <c r="O131" s="7" t="s">
        <v>311</v>
      </c>
      <c r="P131" t="s">
        <v>312</v>
      </c>
    </row>
    <row r="132" spans="1:16" ht="15.75" thickBot="1" x14ac:dyDescent="0.3">
      <c r="A132" s="15" t="s">
        <v>155</v>
      </c>
      <c r="B132">
        <v>183</v>
      </c>
      <c r="C132" s="10">
        <f>[1]Sheet34!D2</f>
        <v>0.57984293193717273</v>
      </c>
      <c r="D132" s="14">
        <f>[1]Sheet34!E2</f>
        <v>88</v>
      </c>
      <c r="E132" s="14">
        <f>[1]Sheet34!F2</f>
        <v>23</v>
      </c>
      <c r="F132" s="14">
        <f>[1]Sheet34!G2</f>
        <v>191</v>
      </c>
      <c r="G132" s="12">
        <f>[1]Sheet34!H2</f>
        <v>0.4607329842931937</v>
      </c>
      <c r="H132" s="12">
        <f>[1]Sheet34!I2</f>
        <v>0.12041884816753927</v>
      </c>
      <c r="I132" s="12">
        <f>[1]Sheet34!J2</f>
        <v>0.41884816753926701</v>
      </c>
      <c r="J132" s="3">
        <f>D132/E132</f>
        <v>3.8260869565217392</v>
      </c>
      <c r="K132" s="1">
        <v>29498</v>
      </c>
      <c r="L132" s="1">
        <v>10628</v>
      </c>
      <c r="M132" s="2">
        <v>9297</v>
      </c>
      <c r="N132" t="s">
        <v>198</v>
      </c>
      <c r="O132" s="7" t="s">
        <v>341</v>
      </c>
      <c r="P132" t="s">
        <v>342</v>
      </c>
    </row>
    <row r="133" spans="1:16" ht="15.75" thickBot="1" x14ac:dyDescent="0.3">
      <c r="A133" s="15" t="s">
        <v>138</v>
      </c>
      <c r="B133">
        <v>159</v>
      </c>
      <c r="C133" s="10">
        <f>[1]UMBC!D2</f>
        <v>0.41626107977437582</v>
      </c>
      <c r="D133" s="14">
        <f>[1]UMBC!E2</f>
        <v>504</v>
      </c>
      <c r="E133" s="14">
        <f>[1]UMBC!F2</f>
        <v>200</v>
      </c>
      <c r="F133" s="14">
        <f>[1]UMBC!G2</f>
        <v>1241</v>
      </c>
      <c r="G133" s="12">
        <f>[1]UMBC!H2</f>
        <v>0.40612409347300565</v>
      </c>
      <c r="H133" s="12">
        <f>[1]UMBC!I2</f>
        <v>0.16116035455278002</v>
      </c>
      <c r="I133" s="12">
        <f>[1]UMBC!J2</f>
        <v>0.4327155519742143</v>
      </c>
      <c r="J133" s="3">
        <f>D133/E133</f>
        <v>2.52</v>
      </c>
      <c r="K133" s="1">
        <v>24492</v>
      </c>
      <c r="L133" s="1">
        <v>11264</v>
      </c>
      <c r="M133" s="2">
        <v>11243</v>
      </c>
      <c r="N133" t="s">
        <v>198</v>
      </c>
      <c r="O133" s="7" t="s">
        <v>255</v>
      </c>
      <c r="P133" t="s">
        <v>219</v>
      </c>
    </row>
    <row r="134" spans="1:16" ht="15.75" thickBot="1" x14ac:dyDescent="0.3">
      <c r="A134" s="15" t="s">
        <v>63</v>
      </c>
      <c r="B134" s="6">
        <v>60</v>
      </c>
      <c r="C134" s="10">
        <f>[7]UMD!D2</f>
        <v>0.3318082663605057</v>
      </c>
      <c r="D134" s="14">
        <f>[7]UMD!E2</f>
        <v>2067</v>
      </c>
      <c r="E134" s="14">
        <f>[7]UMD!F2</f>
        <v>963</v>
      </c>
      <c r="F134" s="14">
        <f>[7]UMD!G2</f>
        <v>5226</v>
      </c>
      <c r="G134" s="12">
        <f>[7]UMD!H2</f>
        <v>0.39552238805970147</v>
      </c>
      <c r="H134" s="12">
        <f>[7]UMD!I2</f>
        <v>0.18427095292766935</v>
      </c>
      <c r="I134" s="12">
        <f>[7]UMD!J2</f>
        <v>0.42020665901262921</v>
      </c>
      <c r="J134" s="3">
        <f>D134/E134</f>
        <v>2.1464174454828662</v>
      </c>
      <c r="K134" s="1">
        <v>32045</v>
      </c>
      <c r="L134" s="1">
        <v>10181</v>
      </c>
      <c r="M134" s="2">
        <v>27443</v>
      </c>
      <c r="N134" t="s">
        <v>198</v>
      </c>
      <c r="O134" s="7" t="s">
        <v>218</v>
      </c>
      <c r="P134" t="s">
        <v>219</v>
      </c>
    </row>
    <row r="135" spans="1:16" ht="15.75" thickBot="1" x14ac:dyDescent="0.3">
      <c r="A135" s="15" t="s">
        <v>71</v>
      </c>
      <c r="B135">
        <v>74</v>
      </c>
      <c r="C135" s="10">
        <f>[4]umass!D2</f>
        <v>0.38269109286165492</v>
      </c>
      <c r="D135" s="14">
        <f>[4]umass!E2</f>
        <v>639</v>
      </c>
      <c r="E135" s="14">
        <f>[4]umass!F2</f>
        <v>285</v>
      </c>
      <c r="F135" s="14">
        <f>[4]umass!G2</f>
        <v>1583</v>
      </c>
      <c r="G135" s="12">
        <f>[4]umass!H2</f>
        <v>0.40366392924826278</v>
      </c>
      <c r="H135" s="12">
        <f>[4]umass!I2</f>
        <v>0.18003790271636133</v>
      </c>
      <c r="I135" s="12">
        <f>[4]umass!J2</f>
        <v>0.41629816803537589</v>
      </c>
      <c r="J135" s="3">
        <f>D135/E135</f>
        <v>2.2421052631578946</v>
      </c>
      <c r="K135" s="1">
        <v>30123</v>
      </c>
      <c r="L135" s="1">
        <v>13790</v>
      </c>
      <c r="M135" s="2">
        <v>22748</v>
      </c>
      <c r="N135" t="s">
        <v>198</v>
      </c>
      <c r="O135" s="7" t="s">
        <v>239</v>
      </c>
      <c r="P135" t="s">
        <v>236</v>
      </c>
    </row>
    <row r="136" spans="1:16" ht="15.75" thickBot="1" x14ac:dyDescent="0.3">
      <c r="A136" s="15" t="s">
        <v>183</v>
      </c>
      <c r="B136">
        <v>220</v>
      </c>
      <c r="C136" s="10">
        <f>[5]UMassBoston!D2</f>
        <v>0.30566176470588236</v>
      </c>
      <c r="D136" s="14">
        <f>[5]UMassBoston!E2</f>
        <v>44</v>
      </c>
      <c r="E136" s="14">
        <f>[5]UMassBoston!F2</f>
        <v>27</v>
      </c>
      <c r="F136" s="14">
        <f>[5]UMassBoston!G2</f>
        <v>136</v>
      </c>
      <c r="G136" s="12">
        <f>[5]UMassBoston!H2</f>
        <v>0.3235294117647059</v>
      </c>
      <c r="H136" s="12">
        <f>[5]UMassBoston!I2</f>
        <v>0.19852941176470587</v>
      </c>
      <c r="I136" s="12">
        <f>[5]UMassBoston!J2</f>
        <v>0.4779411764705882</v>
      </c>
      <c r="J136" s="3">
        <f>D136/E136</f>
        <v>1.6296296296296295</v>
      </c>
      <c r="K136" s="1">
        <v>32023</v>
      </c>
      <c r="L136" s="1">
        <v>13435</v>
      </c>
      <c r="M136" s="2">
        <v>12949</v>
      </c>
      <c r="N136" t="s">
        <v>198</v>
      </c>
      <c r="O136" s="7" t="s">
        <v>258</v>
      </c>
      <c r="P136" t="s">
        <v>236</v>
      </c>
    </row>
    <row r="137" spans="1:16" ht="15.75" thickBot="1" x14ac:dyDescent="0.3">
      <c r="A137" s="15" t="s">
        <v>184</v>
      </c>
      <c r="B137">
        <v>220</v>
      </c>
      <c r="C137" s="10">
        <f>[5]umassd!D2</f>
        <v>0.1137668161434978</v>
      </c>
      <c r="D137" s="14">
        <f>[5]umassd!E2</f>
        <v>76</v>
      </c>
      <c r="E137" s="14">
        <f>[5]umassd!F2</f>
        <v>39</v>
      </c>
      <c r="F137" s="14">
        <f>[5]umassd!G2</f>
        <v>223</v>
      </c>
      <c r="G137" s="12">
        <f>[5]umassd!H2</f>
        <v>0.34080717488789236</v>
      </c>
      <c r="H137" s="12">
        <f>[5]umassd!I2</f>
        <v>0.17488789237668162</v>
      </c>
      <c r="I137" s="12">
        <f>[5]umassd!J2</f>
        <v>0.48430493273542607</v>
      </c>
      <c r="J137" s="3">
        <f>D137/E137</f>
        <v>1.9487179487179487</v>
      </c>
      <c r="K137" s="1">
        <v>19270</v>
      </c>
      <c r="L137" s="1">
        <v>12588</v>
      </c>
      <c r="M137" s="2">
        <v>7295</v>
      </c>
      <c r="N137" t="s">
        <v>198</v>
      </c>
      <c r="O137" s="7" t="s">
        <v>403</v>
      </c>
      <c r="P137" t="s">
        <v>236</v>
      </c>
    </row>
    <row r="138" spans="1:16" ht="15.75" thickBot="1" x14ac:dyDescent="0.3">
      <c r="A138" s="15" t="s">
        <v>137</v>
      </c>
      <c r="B138">
        <v>152</v>
      </c>
      <c r="C138" s="10">
        <f>[1]UofMass!D2</f>
        <v>0.38813137755102028</v>
      </c>
      <c r="D138" s="14">
        <f>[1]UofMass!E2</f>
        <v>618</v>
      </c>
      <c r="E138" s="14">
        <f>[1]UofMass!F2</f>
        <v>253</v>
      </c>
      <c r="F138" s="14">
        <f>[1]UofMass!G2</f>
        <v>1568</v>
      </c>
      <c r="G138" s="12">
        <f>[1]UofMass!H2</f>
        <v>0.39413265306122447</v>
      </c>
      <c r="H138" s="12">
        <f>[1]UofMass!I2</f>
        <v>0.16135204081632654</v>
      </c>
      <c r="I138" s="12">
        <f>[1]UofMass!J2</f>
        <v>0.44451530612244894</v>
      </c>
      <c r="J138" s="3">
        <f>D138/E138</f>
        <v>2.4426877470355732</v>
      </c>
      <c r="K138" s="1">
        <v>29125</v>
      </c>
      <c r="L138" s="1">
        <v>13427</v>
      </c>
      <c r="M138" s="2">
        <v>13266</v>
      </c>
      <c r="N138" t="s">
        <v>198</v>
      </c>
      <c r="O138" s="7" t="s">
        <v>244</v>
      </c>
      <c r="P138" t="s">
        <v>236</v>
      </c>
    </row>
    <row r="139" spans="1:16" ht="15.75" thickBot="1" x14ac:dyDescent="0.3">
      <c r="A139" s="15" t="s">
        <v>48</v>
      </c>
      <c r="B139" s="5">
        <v>44</v>
      </c>
      <c r="C139" s="10">
        <f>'[3]University of Miami'!D2</f>
        <v>0.56817460317460333</v>
      </c>
      <c r="D139" s="14">
        <f>'[3]University of Miami'!E2</f>
        <v>560</v>
      </c>
      <c r="E139" s="14">
        <f>'[3]University of Miami'!F2</f>
        <v>169</v>
      </c>
      <c r="F139" s="14">
        <f>'[3]University of Miami'!G2</f>
        <v>1260</v>
      </c>
      <c r="G139" s="12">
        <f>'[3]University of Miami'!H2</f>
        <v>0.44444444444444442</v>
      </c>
      <c r="H139" s="12">
        <f>'[3]University of Miami'!I2</f>
        <v>0.13412698412698412</v>
      </c>
      <c r="I139" s="12">
        <f>'[3]University of Miami'!J2</f>
        <v>0.42142857142857149</v>
      </c>
      <c r="J139" s="3">
        <f>D139/E139</f>
        <v>3.3136094674556213</v>
      </c>
      <c r="K139" s="1">
        <v>47004</v>
      </c>
      <c r="M139" s="2">
        <v>11122</v>
      </c>
      <c r="N139" t="s">
        <v>199</v>
      </c>
      <c r="O139" s="7" t="s">
        <v>382</v>
      </c>
      <c r="P139" t="s">
        <v>273</v>
      </c>
    </row>
    <row r="140" spans="1:16" ht="15.75" thickBot="1" x14ac:dyDescent="0.3">
      <c r="A140" s="15" t="s">
        <v>30</v>
      </c>
      <c r="B140" s="6">
        <v>27</v>
      </c>
      <c r="C140" s="10">
        <f>[2]UM!D3</f>
        <v>0.55853410097431444</v>
      </c>
      <c r="D140" s="14">
        <f>[2]UM!E3</f>
        <v>1062</v>
      </c>
      <c r="E140" s="14">
        <f>[2]UM!F3</f>
        <v>334</v>
      </c>
      <c r="F140" s="14">
        <f>[2]UM!G3</f>
        <v>2258</v>
      </c>
      <c r="G140" s="12">
        <f>[2]UM!H3</f>
        <v>0.47032772364924713</v>
      </c>
      <c r="H140" s="12">
        <f>[2]UM!I3</f>
        <v>0.14791851195748451</v>
      </c>
      <c r="I140" s="12">
        <f>[2]UM!J3</f>
        <v>0.38175376439326836</v>
      </c>
      <c r="J140" s="3">
        <f>D140/E140</f>
        <v>3.1796407185628741</v>
      </c>
      <c r="K140" s="1">
        <v>43476</v>
      </c>
      <c r="L140" s="1">
        <v>13856</v>
      </c>
      <c r="M140" s="2">
        <v>28312</v>
      </c>
      <c r="N140" t="s">
        <v>198</v>
      </c>
      <c r="O140" s="7" t="s">
        <v>331</v>
      </c>
      <c r="P140" t="s">
        <v>257</v>
      </c>
    </row>
    <row r="141" spans="1:16" ht="15.75" thickBot="1" x14ac:dyDescent="0.3">
      <c r="A141" s="15" t="s">
        <v>68</v>
      </c>
      <c r="B141" s="5">
        <v>71</v>
      </c>
      <c r="C141" s="10">
        <f>'[3]UniversityofMinnesota TwinCitie'!D2</f>
        <v>0.47851441241685111</v>
      </c>
      <c r="D141" s="14">
        <f>'[3]UniversityofMinnesota TwinCitie'!E2</f>
        <v>991</v>
      </c>
      <c r="E141" s="14">
        <f>'[3]UniversityofMinnesota TwinCitie'!F2</f>
        <v>368</v>
      </c>
      <c r="F141" s="14">
        <f>'[3]UniversityofMinnesota TwinCitie'!G2</f>
        <v>2255</v>
      </c>
      <c r="G141" s="12">
        <f>'[3]UniversityofMinnesota TwinCitie'!H2</f>
        <v>0.43946784922394677</v>
      </c>
      <c r="H141" s="12">
        <f>'[3]UniversityofMinnesota TwinCitie'!I2</f>
        <v>0.1631929046563193</v>
      </c>
      <c r="I141" s="12">
        <f>'[3]UniversityofMinnesota TwinCitie'!J2</f>
        <v>0.39733924611973392</v>
      </c>
      <c r="J141" s="3">
        <f>D141/E141</f>
        <v>2.6929347826086958</v>
      </c>
      <c r="K141" s="1">
        <v>22210</v>
      </c>
      <c r="L141" s="1">
        <v>13790</v>
      </c>
      <c r="M141" s="2">
        <v>34071</v>
      </c>
      <c r="N141" t="s">
        <v>198</v>
      </c>
      <c r="O141" s="7" t="s">
        <v>288</v>
      </c>
      <c r="P141" t="s">
        <v>202</v>
      </c>
    </row>
    <row r="142" spans="1:16" ht="15.75" thickBot="1" x14ac:dyDescent="0.3">
      <c r="A142" s="15" t="s">
        <v>126</v>
      </c>
      <c r="B142">
        <v>135</v>
      </c>
      <c r="C142" s="10">
        <f>[1]Sheet20!D2</f>
        <v>0.27217123670956944</v>
      </c>
      <c r="D142" s="14">
        <f>[1]Sheet20!E2</f>
        <v>727</v>
      </c>
      <c r="E142" s="14">
        <f>[1]Sheet20!F2</f>
        <v>462</v>
      </c>
      <c r="F142" s="14">
        <f>[1]Sheet20!G2</f>
        <v>1787</v>
      </c>
      <c r="G142" s="12">
        <f>[1]Sheet20!H2</f>
        <v>0.40682708449916061</v>
      </c>
      <c r="H142" s="12">
        <f>[1]Sheet20!I2</f>
        <v>0.25853385562395076</v>
      </c>
      <c r="I142" s="12">
        <f>[1]Sheet20!J2</f>
        <v>0.33463905987688869</v>
      </c>
      <c r="J142" s="3">
        <f>D142/E142</f>
        <v>1.5735930735930737</v>
      </c>
      <c r="K142" s="1">
        <v>22012</v>
      </c>
      <c r="L142" s="1">
        <v>7744</v>
      </c>
      <c r="M142" s="2">
        <v>18785</v>
      </c>
      <c r="N142" t="s">
        <v>198</v>
      </c>
      <c r="O142" s="7" t="s">
        <v>205</v>
      </c>
      <c r="P142" t="s">
        <v>206</v>
      </c>
    </row>
    <row r="143" spans="1:16" ht="15.75" thickBot="1" x14ac:dyDescent="0.3">
      <c r="A143" s="15" t="s">
        <v>103</v>
      </c>
      <c r="B143" s="5">
        <v>111</v>
      </c>
      <c r="C143" s="10">
        <f>'[3]University of Missouri'!D2</f>
        <v>0.32494821249582362</v>
      </c>
      <c r="D143" s="14">
        <f>'[3]University of Missouri'!E2</f>
        <v>1207</v>
      </c>
      <c r="E143" s="14">
        <f>'[3]University of Missouri'!F2</f>
        <v>647</v>
      </c>
      <c r="F143" s="14">
        <f>'[3]University of Missouri'!G2</f>
        <v>2993</v>
      </c>
      <c r="G143" s="12">
        <f>'[3]University of Missouri'!H2</f>
        <v>0.40327430671566988</v>
      </c>
      <c r="H143" s="12">
        <f>'[3]University of Missouri'!I2</f>
        <v>0.21617106582024725</v>
      </c>
      <c r="I143" s="12">
        <f>'[3]University of Missouri'!J2</f>
        <v>0.38055462746408286</v>
      </c>
      <c r="J143" s="3">
        <f>D143/E143</f>
        <v>1.8655332302936631</v>
      </c>
      <c r="K143" s="1">
        <v>25892</v>
      </c>
      <c r="L143" s="1">
        <v>9518</v>
      </c>
      <c r="M143" s="2">
        <v>27812</v>
      </c>
      <c r="N143" t="s">
        <v>198</v>
      </c>
      <c r="O143" s="7" t="s">
        <v>213</v>
      </c>
      <c r="P143" t="s">
        <v>248</v>
      </c>
    </row>
    <row r="144" spans="1:16" ht="15.75" thickBot="1" x14ac:dyDescent="0.3">
      <c r="A144" s="15" t="s">
        <v>176</v>
      </c>
      <c r="B144">
        <v>210</v>
      </c>
      <c r="C144" s="10">
        <f>'[5]UofMissouri kansas City'!D2</f>
        <v>0.4822594142259416</v>
      </c>
      <c r="D144" s="14">
        <f>'[5]UofMissouri kansas City'!E2</f>
        <v>209</v>
      </c>
      <c r="E144" s="14">
        <f>'[5]UofMissouri kansas City'!F2</f>
        <v>79</v>
      </c>
      <c r="F144" s="14">
        <f>'[5]UofMissouri kansas City'!G2</f>
        <v>478</v>
      </c>
      <c r="G144" s="12">
        <f>'[5]UofMissouri kansas City'!H2</f>
        <v>0.43723849372384938</v>
      </c>
      <c r="H144" s="12">
        <f>'[5]UofMissouri kansas City'!I2</f>
        <v>0.16527196652719664</v>
      </c>
      <c r="I144" s="12">
        <f>'[5]UofMissouri kansas City'!J2</f>
        <v>0.39748953974895396</v>
      </c>
      <c r="J144" s="3">
        <f>D144/E144</f>
        <v>2.6455696202531644</v>
      </c>
      <c r="K144" s="1">
        <v>22714</v>
      </c>
      <c r="L144" s="1">
        <v>9551</v>
      </c>
      <c r="M144" s="2">
        <v>11253</v>
      </c>
      <c r="N144" t="s">
        <v>198</v>
      </c>
      <c r="O144" s="7" t="s">
        <v>397</v>
      </c>
      <c r="P144" t="s">
        <v>253</v>
      </c>
    </row>
    <row r="145" spans="1:16" ht="15.75" thickBot="1" x14ac:dyDescent="0.3">
      <c r="A145" s="15" t="s">
        <v>185</v>
      </c>
      <c r="B145">
        <v>220</v>
      </c>
      <c r="C145" s="10">
        <f>'[5]UofMiss Stlouis'!D2</f>
        <v>0.39214552238805972</v>
      </c>
      <c r="D145" s="14">
        <f>'[5]UofMiss Stlouis'!E2</f>
        <v>214</v>
      </c>
      <c r="E145" s="14">
        <f>'[5]UofMiss Stlouis'!F2</f>
        <v>102</v>
      </c>
      <c r="F145" s="14">
        <f>'[5]UofMiss Stlouis'!G2</f>
        <v>536</v>
      </c>
      <c r="G145" s="12">
        <f>'[5]UofMiss Stlouis'!H2</f>
        <v>0.39925373134328357</v>
      </c>
      <c r="H145" s="12">
        <f>'[5]UofMiss Stlouis'!I2</f>
        <v>0.19029850746268656</v>
      </c>
      <c r="I145" s="12">
        <f>'[5]UofMiss Stlouis'!J2</f>
        <v>0.41044776119402981</v>
      </c>
      <c r="J145" s="3">
        <f>D145/E145</f>
        <v>2.0980392156862746</v>
      </c>
      <c r="K145" s="1">
        <v>26277</v>
      </c>
      <c r="L145" s="1">
        <v>10065</v>
      </c>
      <c r="M145" s="2">
        <v>13569</v>
      </c>
      <c r="N145" t="s">
        <v>198</v>
      </c>
      <c r="O145" s="7" t="s">
        <v>334</v>
      </c>
      <c r="P145" t="s">
        <v>248</v>
      </c>
    </row>
    <row r="146" spans="1:16" ht="15.75" thickBot="1" x14ac:dyDescent="0.3">
      <c r="A146" s="15" t="s">
        <v>179</v>
      </c>
      <c r="B146">
        <v>214</v>
      </c>
      <c r="C146" s="10">
        <f>'[5]University of Montana'!D2</f>
        <v>0.72952979934111906</v>
      </c>
      <c r="D146" s="14">
        <f>'[5]University of Montana'!E2</f>
        <v>1686</v>
      </c>
      <c r="E146" s="14">
        <f>'[5]University of Montana'!F2</f>
        <v>540</v>
      </c>
      <c r="F146" s="14">
        <f>'[5]University of Montana'!G2</f>
        <v>3339</v>
      </c>
      <c r="G146" s="12">
        <f>'[5]University of Montana'!H2</f>
        <v>0.50494159928122195</v>
      </c>
      <c r="H146" s="12">
        <f>'[5]University of Montana'!I2</f>
        <v>0.16172506738544473</v>
      </c>
      <c r="I146" s="12">
        <f>'[5]University of Montana'!J2</f>
        <v>0.33333333333333326</v>
      </c>
      <c r="J146" s="3">
        <f>D146/E146</f>
        <v>3.1222222222222222</v>
      </c>
      <c r="K146" s="1">
        <v>24562</v>
      </c>
      <c r="L146" s="1">
        <v>6446</v>
      </c>
      <c r="M146" s="2">
        <v>8732</v>
      </c>
      <c r="N146" t="s">
        <v>198</v>
      </c>
      <c r="O146" s="7" t="s">
        <v>401</v>
      </c>
      <c r="P146" t="s">
        <v>227</v>
      </c>
    </row>
    <row r="147" spans="1:16" ht="15.75" thickBot="1" x14ac:dyDescent="0.3">
      <c r="A147" s="15" t="s">
        <v>104</v>
      </c>
      <c r="B147">
        <v>111</v>
      </c>
      <c r="C147" s="10">
        <f>'[4]University of Nebraska'!D2</f>
        <v>0.45911999999999992</v>
      </c>
      <c r="D147" s="14">
        <f>'[4]University of Nebraska'!E2</f>
        <v>261</v>
      </c>
      <c r="E147" s="14">
        <f>'[4]University of Nebraska'!F2</f>
        <v>86</v>
      </c>
      <c r="F147" s="14">
        <f>'[4]University of Nebraska'!G2</f>
        <v>625</v>
      </c>
      <c r="G147" s="12">
        <f>'[4]University of Nebraska'!H2</f>
        <v>0.41760000000000003</v>
      </c>
      <c r="H147" s="12">
        <f>'[4]University of Nebraska'!I2</f>
        <v>0.1376</v>
      </c>
      <c r="I147" s="12">
        <f>'[4]University of Nebraska'!J2</f>
        <v>0.44479999999999997</v>
      </c>
      <c r="J147" s="3">
        <f>D147/E147</f>
        <v>3.0348837209302326</v>
      </c>
      <c r="K147" s="1">
        <v>23148</v>
      </c>
      <c r="L147" s="1">
        <v>8628</v>
      </c>
      <c r="M147" s="2">
        <v>20182</v>
      </c>
      <c r="N147" t="s">
        <v>198</v>
      </c>
      <c r="O147" s="7" t="s">
        <v>284</v>
      </c>
      <c r="P147" t="s">
        <v>285</v>
      </c>
    </row>
    <row r="148" spans="1:16" ht="15.75" thickBot="1" x14ac:dyDescent="0.3">
      <c r="A148" s="15" t="s">
        <v>166</v>
      </c>
      <c r="B148">
        <v>197</v>
      </c>
      <c r="C148" s="10">
        <f>'[1]University of Nevada'!D2</f>
        <v>0.57554192229038881</v>
      </c>
      <c r="D148" s="14">
        <f>'[1]University of Nevada'!E2</f>
        <v>452</v>
      </c>
      <c r="E148" s="14">
        <f>'[1]University of Nevada'!F2</f>
        <v>138</v>
      </c>
      <c r="F148" s="14">
        <f>'[1]University of Nevada'!G2</f>
        <v>978</v>
      </c>
      <c r="G148" s="12">
        <f>'[1]University of Nevada'!H2</f>
        <v>0.46216768916155421</v>
      </c>
      <c r="H148" s="12">
        <f>'[1]University of Nevada'!I2</f>
        <v>0.1411042944785276</v>
      </c>
      <c r="I148" s="12">
        <f>'[1]University of Nevada'!J2</f>
        <v>0.39672801635991817</v>
      </c>
      <c r="J148" s="3">
        <f>D148/E148</f>
        <v>3.2753623188405796</v>
      </c>
      <c r="K148" s="1">
        <v>21052</v>
      </c>
      <c r="L148" s="1">
        <v>7142</v>
      </c>
      <c r="M148" s="2">
        <v>17770</v>
      </c>
      <c r="N148" t="s">
        <v>198</v>
      </c>
      <c r="O148" s="7" t="s">
        <v>340</v>
      </c>
      <c r="P148" t="s">
        <v>295</v>
      </c>
    </row>
    <row r="149" spans="1:16" ht="15.75" thickBot="1" x14ac:dyDescent="0.3">
      <c r="A149" s="15" t="s">
        <v>98</v>
      </c>
      <c r="B149">
        <v>107</v>
      </c>
      <c r="C149" s="10">
        <f>'[4]University of New Hampshire'!D2</f>
        <v>0.41977596741344209</v>
      </c>
      <c r="D149" s="14">
        <f>'[4]University of New Hampshire'!E2</f>
        <v>198</v>
      </c>
      <c r="E149" s="14">
        <f>'[4]University of New Hampshire'!F2</f>
        <v>92</v>
      </c>
      <c r="F149" s="14">
        <f>'[4]University of New Hampshire'!G2</f>
        <v>491</v>
      </c>
      <c r="G149" s="12">
        <f>'[4]University of New Hampshire'!H2</f>
        <v>0.40325865580448067</v>
      </c>
      <c r="H149" s="12">
        <f>'[4]University of New Hampshire'!I2</f>
        <v>0.18737270875763748</v>
      </c>
      <c r="I149" s="12">
        <f>'[4]University of New Hampshire'!J2</f>
        <v>0.40936863543788182</v>
      </c>
      <c r="J149" s="3">
        <f>D149/E149</f>
        <v>2.152173913043478</v>
      </c>
      <c r="K149" s="1">
        <v>31424</v>
      </c>
      <c r="L149" s="1">
        <v>17624</v>
      </c>
      <c r="M149" s="2">
        <v>13034</v>
      </c>
      <c r="N149" t="s">
        <v>198</v>
      </c>
      <c r="O149" s="7" t="s">
        <v>260</v>
      </c>
      <c r="P149" t="s">
        <v>261</v>
      </c>
    </row>
    <row r="150" spans="1:16" ht="15.75" thickBot="1" x14ac:dyDescent="0.3">
      <c r="A150" s="15" t="s">
        <v>153</v>
      </c>
      <c r="B150">
        <v>176</v>
      </c>
      <c r="C150" s="10">
        <f>'[1]UofNew Mexico'!D2</f>
        <v>0.57076212471131593</v>
      </c>
      <c r="D150" s="14">
        <f>'[1]UofNew Mexico'!E2</f>
        <v>400</v>
      </c>
      <c r="E150" s="14">
        <f>'[1]UofNew Mexico'!F2</f>
        <v>116</v>
      </c>
      <c r="F150" s="14">
        <f>'[1]UofNew Mexico'!G2</f>
        <v>866</v>
      </c>
      <c r="G150" s="12">
        <f>'[1]UofNew Mexico'!H2</f>
        <v>0.46189376443418012</v>
      </c>
      <c r="H150" s="12">
        <f>'[1]UofNew Mexico'!I2</f>
        <v>0.13394919168591224</v>
      </c>
      <c r="I150" s="12">
        <f>'[1]UofNew Mexico'!J2</f>
        <v>0.40415704387990758</v>
      </c>
      <c r="J150" s="3">
        <f>D150/E150</f>
        <v>3.4482758620689653</v>
      </c>
      <c r="K150" s="1">
        <v>21302</v>
      </c>
      <c r="L150" s="1">
        <v>7071</v>
      </c>
      <c r="M150" s="2">
        <v>20522</v>
      </c>
      <c r="N150" t="s">
        <v>198</v>
      </c>
      <c r="O150" s="7" t="s">
        <v>337</v>
      </c>
      <c r="P150" t="s">
        <v>338</v>
      </c>
    </row>
    <row r="151" spans="1:16" ht="15.75" thickBot="1" x14ac:dyDescent="0.3">
      <c r="A151" s="15" t="s">
        <v>31</v>
      </c>
      <c r="B151" s="5">
        <v>30</v>
      </c>
      <c r="C151" s="10">
        <f>'[3]University of North Carolina CH'!D2</f>
        <v>0.75296296296296283</v>
      </c>
      <c r="D151" s="14">
        <f>'[3]University of North Carolina CH'!E2</f>
        <v>93</v>
      </c>
      <c r="E151" s="14">
        <f>'[3]University of North Carolina CH'!F2</f>
        <v>18</v>
      </c>
      <c r="F151" s="14">
        <f>'[3]University of North Carolina CH'!G2</f>
        <v>162</v>
      </c>
      <c r="G151" s="12">
        <f>'[3]University of North Carolina CH'!H2</f>
        <v>0.57407407407407407</v>
      </c>
      <c r="H151" s="12">
        <f>'[3]University of North Carolina CH'!I2</f>
        <v>0.1111111111111111</v>
      </c>
      <c r="I151" s="12">
        <f>'[3]University of North Carolina CH'!J2</f>
        <v>0.31481481481481488</v>
      </c>
      <c r="J151" s="3">
        <f>D151/E151</f>
        <v>5.166666666666667</v>
      </c>
      <c r="K151" s="1">
        <v>33916</v>
      </c>
      <c r="L151" s="1">
        <v>8834</v>
      </c>
      <c r="M151" s="2">
        <v>18415</v>
      </c>
      <c r="N151" t="s">
        <v>198</v>
      </c>
      <c r="O151" s="7" t="s">
        <v>377</v>
      </c>
      <c r="P151" t="s">
        <v>246</v>
      </c>
    </row>
    <row r="152" spans="1:16" ht="15.75" thickBot="1" x14ac:dyDescent="0.3">
      <c r="A152" s="15" t="s">
        <v>171</v>
      </c>
      <c r="B152">
        <v>202</v>
      </c>
      <c r="C152" s="10">
        <f>[1]UNCCharlotte!D2</f>
        <v>0.41978378378378373</v>
      </c>
      <c r="D152" s="14">
        <f>[1]UNCCharlotte!E2</f>
        <v>1092</v>
      </c>
      <c r="E152" s="14">
        <f>[1]UNCCharlotte!F2</f>
        <v>473</v>
      </c>
      <c r="F152" s="14">
        <f>[1]UNCCharlotte!G2</f>
        <v>2590</v>
      </c>
      <c r="G152" s="12">
        <f>[1]UNCCharlotte!H2</f>
        <v>0.42162162162162165</v>
      </c>
      <c r="H152" s="12">
        <f>[1]UNCCharlotte!I2</f>
        <v>0.18262548262548262</v>
      </c>
      <c r="I152" s="12">
        <f>[1]UNCCharlotte!J2</f>
        <v>0.39575289575289574</v>
      </c>
      <c r="J152" s="3">
        <f>D152/E152</f>
        <v>2.3086680761099365</v>
      </c>
      <c r="K152" s="1">
        <v>20193</v>
      </c>
      <c r="L152" s="1">
        <v>6617</v>
      </c>
      <c r="M152" s="2">
        <v>22732</v>
      </c>
      <c r="N152" t="s">
        <v>198</v>
      </c>
      <c r="O152" s="7" t="s">
        <v>262</v>
      </c>
      <c r="P152" t="s">
        <v>263</v>
      </c>
    </row>
    <row r="153" spans="1:16" ht="15.75" thickBot="1" x14ac:dyDescent="0.3">
      <c r="A153" s="15" t="s">
        <v>186</v>
      </c>
      <c r="B153">
        <v>220</v>
      </c>
      <c r="C153" s="10">
        <f>'[5]Unvieristy of North Car Greensb'!D2</f>
        <v>0.59956889264581548</v>
      </c>
      <c r="D153" s="14">
        <f>'[5]Unvieristy of North Car Greensb'!E2</f>
        <v>540</v>
      </c>
      <c r="E153" s="14">
        <f>'[5]Unvieristy of North Car Greensb'!F2</f>
        <v>144</v>
      </c>
      <c r="F153" s="14">
        <f>'[5]Unvieristy of North Car Greensb'!G2</f>
        <v>1183</v>
      </c>
      <c r="G153" s="12">
        <f>'[5]Unvieristy of North Car Greensb'!H2</f>
        <v>0.45646661031276414</v>
      </c>
      <c r="H153" s="12">
        <f>'[5]Unvieristy of North Car Greensb'!I2</f>
        <v>0.12172442941673711</v>
      </c>
      <c r="I153" s="12">
        <f>'[5]Unvieristy of North Car Greensb'!J2</f>
        <v>0.42180896027049875</v>
      </c>
      <c r="J153" s="3">
        <f>D153/E153</f>
        <v>3.75</v>
      </c>
      <c r="K153" s="1">
        <v>21595</v>
      </c>
      <c r="L153" s="1">
        <v>6733</v>
      </c>
      <c r="M153" s="2">
        <v>15951</v>
      </c>
      <c r="N153" t="s">
        <v>198</v>
      </c>
      <c r="O153" s="7" t="s">
        <v>406</v>
      </c>
      <c r="P153" t="s">
        <v>246</v>
      </c>
    </row>
    <row r="154" spans="1:16" ht="15.75" thickBot="1" x14ac:dyDescent="0.3">
      <c r="A154" s="15" t="s">
        <v>172</v>
      </c>
      <c r="B154">
        <v>202</v>
      </c>
      <c r="C154" s="10">
        <f>'[1]University of North Dakota'!D2</f>
        <v>0.442639751552795</v>
      </c>
      <c r="D154" s="14">
        <f>'[1]University of North Dakota'!E2</f>
        <v>402</v>
      </c>
      <c r="E154" s="14">
        <f>'[1]University of North Dakota'!F2</f>
        <v>169</v>
      </c>
      <c r="F154" s="14">
        <f>'[1]University of North Dakota'!G2</f>
        <v>966</v>
      </c>
      <c r="G154" s="12">
        <f>'[1]University of North Dakota'!H2</f>
        <v>0.41614906832298137</v>
      </c>
      <c r="H154" s="12">
        <f>'[1]University of North Dakota'!I2</f>
        <v>0.17494824016563146</v>
      </c>
      <c r="I154" s="12">
        <f>'[1]University of North Dakota'!J2</f>
        <v>0.40890269151138714</v>
      </c>
      <c r="J154" s="3">
        <f>D154/E154</f>
        <v>2.3786982248520712</v>
      </c>
      <c r="K154" s="1">
        <v>18899</v>
      </c>
      <c r="L154" s="1">
        <v>4965</v>
      </c>
      <c r="M154" s="2">
        <v>11577</v>
      </c>
      <c r="N154" t="s">
        <v>198</v>
      </c>
      <c r="O154" s="7" t="s">
        <v>274</v>
      </c>
      <c r="P154" t="s">
        <v>246</v>
      </c>
    </row>
    <row r="155" spans="1:16" ht="15.75" thickBot="1" x14ac:dyDescent="0.3">
      <c r="A155" s="15" t="s">
        <v>19</v>
      </c>
      <c r="B155">
        <v>15</v>
      </c>
      <c r="C155" s="10">
        <f>[2]Notredame!D3</f>
        <v>0.70224181360201621</v>
      </c>
      <c r="D155" s="14">
        <f>[2]Notredame!E3</f>
        <v>1353</v>
      </c>
      <c r="E155" s="14">
        <f>[2]Notredame!F3</f>
        <v>360</v>
      </c>
      <c r="F155" s="14">
        <f>[2]Notredame!G3</f>
        <v>2779</v>
      </c>
      <c r="G155" s="12">
        <f>[2]Notredame!H3</f>
        <v>0.48686577905721484</v>
      </c>
      <c r="H155" s="12">
        <f>[2]Notredame!I3</f>
        <v>0.12954300107952502</v>
      </c>
      <c r="I155" s="12">
        <f>[2]Notredame!J3</f>
        <v>0.38359121986326017</v>
      </c>
      <c r="J155" s="3">
        <f>D155/E155</f>
        <v>3.7583333333333333</v>
      </c>
      <c r="K155" s="1">
        <v>49685</v>
      </c>
      <c r="M155" s="2">
        <v>8462</v>
      </c>
      <c r="N155" t="s">
        <v>199</v>
      </c>
      <c r="O155" s="7" t="s">
        <v>373</v>
      </c>
      <c r="P155" t="s">
        <v>250</v>
      </c>
    </row>
    <row r="156" spans="1:16" ht="15.75" thickBot="1" x14ac:dyDescent="0.3">
      <c r="A156" s="15" t="s">
        <v>105</v>
      </c>
      <c r="B156" s="5">
        <v>111</v>
      </c>
      <c r="C156" s="10">
        <f>[3]UniversityofOklahoma!D2</f>
        <v>0.48799159271368547</v>
      </c>
      <c r="D156" s="14">
        <f>[3]UniversityofOklahoma!E2</f>
        <v>923</v>
      </c>
      <c r="E156" s="14">
        <f>[3]UniversityofOklahoma!F2</f>
        <v>356</v>
      </c>
      <c r="F156" s="14">
        <f>[3]UniversityofOklahoma!G2</f>
        <v>2141</v>
      </c>
      <c r="G156" s="12">
        <f>[3]UniversityofOklahoma!H2</f>
        <v>0.43110695936478283</v>
      </c>
      <c r="H156" s="12">
        <f>[3]UniversityofOklahoma!I2</f>
        <v>0.1662774404483886</v>
      </c>
      <c r="I156" s="12">
        <f>[3]UniversityofOklahoma!J2</f>
        <v>0.40261560018682863</v>
      </c>
      <c r="J156" s="3">
        <f>D156/E156</f>
        <v>2.5926966292134832</v>
      </c>
      <c r="K156" s="1">
        <v>21451</v>
      </c>
      <c r="L156" s="1">
        <v>8065</v>
      </c>
      <c r="M156" s="2">
        <v>22132</v>
      </c>
      <c r="N156" t="s">
        <v>198</v>
      </c>
      <c r="O156" s="7" t="s">
        <v>389</v>
      </c>
      <c r="P156" t="s">
        <v>308</v>
      </c>
    </row>
    <row r="157" spans="1:16" ht="15.75" thickBot="1" x14ac:dyDescent="0.3">
      <c r="A157" s="15" t="s">
        <v>95</v>
      </c>
      <c r="B157">
        <v>103</v>
      </c>
      <c r="C157" s="10">
        <f>'[4]University of Oregon'!D2</f>
        <v>0.52053017944535052</v>
      </c>
      <c r="D157" s="14">
        <f>'[4]University of Oregon'!E2</f>
        <v>546</v>
      </c>
      <c r="E157" s="14">
        <f>'[4]University of Oregon'!F2</f>
        <v>201</v>
      </c>
      <c r="F157" s="14">
        <f>'[4]University of Oregon'!G2</f>
        <v>1226</v>
      </c>
      <c r="G157" s="12">
        <f>'[4]University of Oregon'!H2</f>
        <v>0.44535073409461662</v>
      </c>
      <c r="H157" s="12">
        <f>'[4]University of Oregon'!I2</f>
        <v>0.16394779771615009</v>
      </c>
      <c r="I157" s="12">
        <f>'[4]University of Oregon'!J2</f>
        <v>0.39070146818923335</v>
      </c>
      <c r="J157" s="3">
        <f>D157/E157</f>
        <v>2.716417910447761</v>
      </c>
      <c r="K157" s="1">
        <v>33442</v>
      </c>
      <c r="L157" s="1">
        <v>10762</v>
      </c>
      <c r="M157" s="2">
        <v>20538</v>
      </c>
      <c r="N157" t="s">
        <v>198</v>
      </c>
      <c r="O157" s="7" t="s">
        <v>314</v>
      </c>
      <c r="P157" t="s">
        <v>315</v>
      </c>
    </row>
    <row r="158" spans="1:16" ht="15.75" thickBot="1" x14ac:dyDescent="0.3">
      <c r="A158" s="15" t="s">
        <v>11</v>
      </c>
      <c r="B158" s="6">
        <v>8</v>
      </c>
      <c r="C158" s="10">
        <f>'[6]University of Pennsylvania'!D2</f>
        <v>0.59360805860805843</v>
      </c>
      <c r="D158" s="14">
        <f>'[6]University of Pennsylvania'!E2</f>
        <v>1859</v>
      </c>
      <c r="E158" s="14">
        <f>'[6]University of Pennsylvania'!F2</f>
        <v>463</v>
      </c>
      <c r="F158" s="14">
        <f>'[6]University of Pennsylvania'!G2</f>
        <v>3822</v>
      </c>
      <c r="G158" s="12">
        <f>'[6]University of Pennsylvania'!H2</f>
        <v>0.48639455782312924</v>
      </c>
      <c r="H158" s="12">
        <f>'[6]University of Pennsylvania'!I2</f>
        <v>0.12114076399790685</v>
      </c>
      <c r="I158" s="12">
        <f>'[6]University of Pennsylvania'!J2</f>
        <v>0.39246467817896391</v>
      </c>
      <c r="J158" s="3">
        <f>D158/E158</f>
        <v>4.0151187904967607</v>
      </c>
      <c r="K158" s="1">
        <v>51464</v>
      </c>
      <c r="M158" s="2">
        <v>9726</v>
      </c>
      <c r="N158" t="s">
        <v>199</v>
      </c>
      <c r="O158" s="7" t="s">
        <v>264</v>
      </c>
      <c r="P158" t="s">
        <v>265</v>
      </c>
    </row>
    <row r="159" spans="1:16" ht="15.75" thickBot="1" x14ac:dyDescent="0.3">
      <c r="A159" s="15" t="s">
        <v>65</v>
      </c>
      <c r="B159" s="6">
        <v>68</v>
      </c>
      <c r="C159" s="10">
        <f>[7]Pitt!D2</f>
        <v>0.4231083798882686</v>
      </c>
      <c r="D159" s="14">
        <f>[7]Pitt!E2</f>
        <v>1866</v>
      </c>
      <c r="E159" s="14">
        <f>[7]Pitt!F2</f>
        <v>807</v>
      </c>
      <c r="F159" s="14">
        <f>[7]Pitt!G2</f>
        <v>4475</v>
      </c>
      <c r="G159" s="12">
        <f>[7]Pitt!H2</f>
        <v>0.41698324022346367</v>
      </c>
      <c r="H159" s="12">
        <f>[7]Pitt!I2</f>
        <v>0.18033519553072624</v>
      </c>
      <c r="I159" s="12">
        <f>[7]Pitt!J2</f>
        <v>0.40268156424581014</v>
      </c>
      <c r="J159" s="3">
        <f>D159/E159</f>
        <v>2.3122676579925652</v>
      </c>
      <c r="K159" s="1">
        <v>29758</v>
      </c>
      <c r="L159" s="1">
        <v>18618</v>
      </c>
      <c r="M159" s="2">
        <v>18908</v>
      </c>
      <c r="N159" t="s">
        <v>198</v>
      </c>
      <c r="O159" s="7" t="s">
        <v>271</v>
      </c>
      <c r="P159" t="s">
        <v>265</v>
      </c>
    </row>
    <row r="160" spans="1:16" ht="15.75" thickBot="1" x14ac:dyDescent="0.3">
      <c r="A160" s="15" t="s">
        <v>139</v>
      </c>
      <c r="B160">
        <v>159</v>
      </c>
      <c r="C160" s="10">
        <f>[1]UofRohdIsland!D2</f>
        <v>0.53461538461538471</v>
      </c>
      <c r="D160" s="14">
        <f>[1]UofRohdIsland!E2</f>
        <v>58</v>
      </c>
      <c r="E160" s="14">
        <f>[1]UofRohdIsland!F2</f>
        <v>14</v>
      </c>
      <c r="F160" s="14">
        <f>[1]UofRohdIsland!G2</f>
        <v>143</v>
      </c>
      <c r="G160" s="12">
        <f>[1]UofRohdIsland!H2</f>
        <v>0.40559440559440557</v>
      </c>
      <c r="H160" s="12">
        <f>[1]UofRohdIsland!I2</f>
        <v>9.7902097902097904E-2</v>
      </c>
      <c r="I160" s="12">
        <f>[1]UofRohdIsland!J2</f>
        <v>0.49650349650349657</v>
      </c>
      <c r="J160" s="3">
        <f>D160/E160</f>
        <v>4.1428571428571432</v>
      </c>
      <c r="K160" s="1">
        <v>28852</v>
      </c>
      <c r="L160" s="1">
        <v>12862</v>
      </c>
      <c r="M160" s="2">
        <v>13641</v>
      </c>
      <c r="N160" t="s">
        <v>198</v>
      </c>
      <c r="O160" s="7" t="s">
        <v>323</v>
      </c>
      <c r="P160" t="s">
        <v>324</v>
      </c>
    </row>
    <row r="161" spans="1:16" ht="15.75" thickBot="1" x14ac:dyDescent="0.3">
      <c r="A161" s="15" t="s">
        <v>34</v>
      </c>
      <c r="B161" s="6">
        <v>32</v>
      </c>
      <c r="C161" s="10">
        <f>[2]URochester!D3</f>
        <v>0.4697135183527304</v>
      </c>
      <c r="D161" s="14">
        <f>[2]URochester!E3</f>
        <v>473</v>
      </c>
      <c r="E161" s="14">
        <f>[2]URochester!F3</f>
        <v>176</v>
      </c>
      <c r="F161" s="14">
        <f>[2]URochester!G3</f>
        <v>1117</v>
      </c>
      <c r="G161" s="12">
        <f>[2]URochester!H3</f>
        <v>0.42345568487018798</v>
      </c>
      <c r="H161" s="12">
        <f>[2]URochester!I3</f>
        <v>0.15756490599820949</v>
      </c>
      <c r="I161" s="12">
        <f>[2]URochester!J3</f>
        <v>0.41897940913160259</v>
      </c>
      <c r="J161" s="3">
        <f>D161/E161</f>
        <v>2.6875</v>
      </c>
      <c r="K161" s="1">
        <v>50142</v>
      </c>
      <c r="M161" s="2">
        <v>6304</v>
      </c>
      <c r="N161" t="s">
        <v>199</v>
      </c>
      <c r="O161" s="7" t="s">
        <v>234</v>
      </c>
      <c r="P161" t="s">
        <v>212</v>
      </c>
    </row>
    <row r="162" spans="1:16" ht="15.75" thickBot="1" x14ac:dyDescent="0.3">
      <c r="A162" s="15" t="s">
        <v>83</v>
      </c>
      <c r="B162">
        <v>86</v>
      </c>
      <c r="C162" s="10">
        <f>'[4]University of San Diego'!D2</f>
        <v>0.51117948717948725</v>
      </c>
      <c r="D162" s="14">
        <f>'[4]University of San Diego'!E2</f>
        <v>249</v>
      </c>
      <c r="E162" s="14">
        <f>'[4]University of San Diego'!F2</f>
        <v>77</v>
      </c>
      <c r="F162" s="14">
        <f>'[4]University of San Diego'!G2</f>
        <v>585</v>
      </c>
      <c r="G162" s="12">
        <f>'[4]University of San Diego'!H2</f>
        <v>0.42564102564102563</v>
      </c>
      <c r="H162" s="12">
        <f>'[4]University of San Diego'!I2</f>
        <v>0.13162393162393163</v>
      </c>
      <c r="I162" s="12">
        <f>'[4]University of San Diego'!J2</f>
        <v>0.44273504273504272</v>
      </c>
      <c r="J162" s="3">
        <f>D162/E162</f>
        <v>3.2337662337662336</v>
      </c>
      <c r="K162" s="1">
        <v>46140</v>
      </c>
      <c r="M162" s="2">
        <v>5647</v>
      </c>
      <c r="N162" t="s">
        <v>199</v>
      </c>
      <c r="O162" s="7" t="s">
        <v>310</v>
      </c>
      <c r="P162" t="s">
        <v>210</v>
      </c>
    </row>
    <row r="163" spans="1:16" ht="15.75" thickBot="1" x14ac:dyDescent="0.3">
      <c r="A163" s="15" t="s">
        <v>99</v>
      </c>
      <c r="B163">
        <v>107</v>
      </c>
      <c r="C163" s="10">
        <f>'[4]University of San Francisco'!D2</f>
        <v>0.71016786570743373</v>
      </c>
      <c r="D163" s="14">
        <f>'[4]University of San Francisco'!E2</f>
        <v>221</v>
      </c>
      <c r="E163" s="14">
        <f>'[4]University of San Francisco'!F2</f>
        <v>39</v>
      </c>
      <c r="F163" s="14">
        <f>'[4]University of San Francisco'!G2</f>
        <v>417</v>
      </c>
      <c r="G163" s="12">
        <f>'[4]University of San Francisco'!H2</f>
        <v>0.52997601918465231</v>
      </c>
      <c r="H163" s="12">
        <f>'[4]University of San Francisco'!I2</f>
        <v>9.3525179856115109E-2</v>
      </c>
      <c r="I163" s="12">
        <f>'[4]University of San Francisco'!J2</f>
        <v>0.3764988009592326</v>
      </c>
      <c r="J163" s="3">
        <f>D163/E163</f>
        <v>5.666666666666667</v>
      </c>
      <c r="K163" s="1">
        <v>44494</v>
      </c>
      <c r="M163" s="2">
        <v>6782</v>
      </c>
      <c r="N163" t="s">
        <v>199</v>
      </c>
      <c r="O163" s="7" t="s">
        <v>368</v>
      </c>
      <c r="P163" t="s">
        <v>210</v>
      </c>
    </row>
    <row r="164" spans="1:16" ht="15.75" thickBot="1" x14ac:dyDescent="0.3">
      <c r="A164" s="15" t="s">
        <v>100</v>
      </c>
      <c r="B164">
        <v>107</v>
      </c>
      <c r="C164" s="10">
        <f>'[4]university of south carolina'!D2</f>
        <v>0.2906353161009031</v>
      </c>
      <c r="D164" s="14">
        <f>'[4]university of south carolina'!E2</f>
        <v>1239</v>
      </c>
      <c r="E164" s="14">
        <f>'[4]university of south carolina'!F2</f>
        <v>719</v>
      </c>
      <c r="F164" s="14">
        <f>'[4]university of south carolina'!G2</f>
        <v>3211</v>
      </c>
      <c r="G164" s="12">
        <f>'[4]university of south carolina'!H2</f>
        <v>0.38586110246029276</v>
      </c>
      <c r="H164" s="12">
        <f>'[4]university of south carolina'!I2</f>
        <v>0.22391778262223605</v>
      </c>
      <c r="I164" s="12">
        <f>'[4]university of south carolina'!J2</f>
        <v>0.39022111491747125</v>
      </c>
      <c r="J164" s="3">
        <f>D164/E164</f>
        <v>1.7232267037552156</v>
      </c>
      <c r="K164" s="1">
        <v>31282</v>
      </c>
      <c r="L164" s="1">
        <v>11854</v>
      </c>
      <c r="M164" s="2">
        <v>25237</v>
      </c>
      <c r="N164" t="s">
        <v>198</v>
      </c>
      <c r="O164" s="7" t="s">
        <v>213</v>
      </c>
      <c r="P164" t="s">
        <v>214</v>
      </c>
    </row>
    <row r="165" spans="1:16" ht="15.75" thickBot="1" x14ac:dyDescent="0.3">
      <c r="A165" s="15" t="s">
        <v>140</v>
      </c>
      <c r="B165">
        <v>159</v>
      </c>
      <c r="C165" s="10">
        <f>'[1]University of South Florida'!D2</f>
        <v>0.48823289070480064</v>
      </c>
      <c r="D165" s="14">
        <f>'[1]University of South Florida'!E2</f>
        <v>404</v>
      </c>
      <c r="E165" s="14">
        <f>'[1]University of South Florida'!F2</f>
        <v>144</v>
      </c>
      <c r="F165" s="14">
        <f>'[1]University of South Florida'!G2</f>
        <v>979</v>
      </c>
      <c r="G165" s="12">
        <f>'[1]University of South Florida'!H2</f>
        <v>0.41266598569969354</v>
      </c>
      <c r="H165" s="12">
        <f>'[1]University of South Florida'!I2</f>
        <v>0.14708886618998979</v>
      </c>
      <c r="I165" s="12">
        <f>'[1]University of South Florida'!J2</f>
        <v>0.44024514811031668</v>
      </c>
      <c r="J165" s="3">
        <f>D165/E165</f>
        <v>2.8055555555555554</v>
      </c>
      <c r="K165" s="1">
        <v>17325</v>
      </c>
      <c r="L165" s="1">
        <v>6410</v>
      </c>
      <c r="M165" s="2">
        <v>31111</v>
      </c>
      <c r="N165" t="s">
        <v>198</v>
      </c>
      <c r="O165" s="7" t="s">
        <v>290</v>
      </c>
      <c r="P165" t="s">
        <v>273</v>
      </c>
    </row>
    <row r="166" spans="1:16" ht="15.75" thickBot="1" x14ac:dyDescent="0.3">
      <c r="A166" s="15" t="s">
        <v>25</v>
      </c>
      <c r="B166" s="6">
        <v>23</v>
      </c>
      <c r="C166" s="10">
        <f>[7]USC!D2</f>
        <v>0.59392744095446848</v>
      </c>
      <c r="D166" s="14">
        <f>[7]USC!E2</f>
        <v>1941</v>
      </c>
      <c r="E166" s="14">
        <f>[7]USC!F2</f>
        <v>550</v>
      </c>
      <c r="F166" s="14">
        <f>[7]USC!G2</f>
        <v>4107</v>
      </c>
      <c r="G166" s="12">
        <f>[7]USC!H2</f>
        <v>0.47260774287801316</v>
      </c>
      <c r="H166" s="12">
        <f>[7]USC!I2</f>
        <v>0.13391770148526905</v>
      </c>
      <c r="I166" s="12">
        <f>1-(G166+H166)</f>
        <v>0.39347455563671785</v>
      </c>
      <c r="J166" s="3">
        <f>D166/E166</f>
        <v>3.5290909090909093</v>
      </c>
      <c r="K166" s="1">
        <v>52217</v>
      </c>
      <c r="M166" s="2">
        <v>18810</v>
      </c>
      <c r="N166" t="s">
        <v>199</v>
      </c>
      <c r="O166" s="7" t="s">
        <v>347</v>
      </c>
      <c r="P166" t="s">
        <v>210</v>
      </c>
    </row>
    <row r="167" spans="1:16" ht="15.75" thickBot="1" x14ac:dyDescent="0.3">
      <c r="A167" s="15" t="s">
        <v>187</v>
      </c>
      <c r="B167">
        <v>220</v>
      </c>
      <c r="C167" s="10">
        <f>'[5]U of Southern Missi'!D2</f>
        <v>5.7125000000000002E-2</v>
      </c>
      <c r="D167" s="14">
        <f>'[5]U of Southern Missi'!E2</f>
        <v>96</v>
      </c>
      <c r="E167" s="14">
        <f>'[5]U of Southern Missi'!F2</f>
        <v>88</v>
      </c>
      <c r="F167" s="14">
        <f>'[5]U of Southern Missi'!G2</f>
        <v>320</v>
      </c>
      <c r="G167" s="12">
        <f>'[5]U of Southern Missi'!H2</f>
        <v>0.3</v>
      </c>
      <c r="H167" s="12">
        <f>'[5]U of Southern Missi'!I2</f>
        <v>0.27500000000000002</v>
      </c>
      <c r="I167" s="12">
        <f>'[5]U of Southern Missi'!J2</f>
        <v>0.42500000000000004</v>
      </c>
      <c r="J167" s="3">
        <f>D167/E167</f>
        <v>1.0909090909090908</v>
      </c>
      <c r="K167" s="1">
        <v>16094</v>
      </c>
      <c r="L167" s="1">
        <v>7224</v>
      </c>
      <c r="M167" s="2">
        <v>11840</v>
      </c>
      <c r="N167" t="s">
        <v>198</v>
      </c>
      <c r="O167" s="8" t="s">
        <v>404</v>
      </c>
      <c r="P167" t="s">
        <v>206</v>
      </c>
    </row>
    <row r="168" spans="1:16" ht="15.75" thickBot="1" x14ac:dyDescent="0.3">
      <c r="A168" s="15" t="s">
        <v>112</v>
      </c>
      <c r="B168">
        <v>118</v>
      </c>
      <c r="C168" s="10">
        <f>[4]UniversityOfStThomas!D2</f>
        <v>-3.020408163265307E-2</v>
      </c>
      <c r="D168" s="14">
        <f>[4]UniversityOfStThomas!E2</f>
        <v>12</v>
      </c>
      <c r="E168" s="14">
        <f>[4]UniversityOfStThomas!F2</f>
        <v>11</v>
      </c>
      <c r="F168" s="14">
        <f>[4]UniversityOfStThomas!G2</f>
        <v>49</v>
      </c>
      <c r="G168" s="12">
        <f>[4]UniversityOfStThomas!H2</f>
        <v>0.24489795918367346</v>
      </c>
      <c r="H168" s="12">
        <f>[4]UniversityOfStThomas!I2</f>
        <v>0.22448979591836735</v>
      </c>
      <c r="I168" s="12">
        <f>[4]UniversityOfStThomas!J2</f>
        <v>0.53061224489795922</v>
      </c>
      <c r="J168" s="3">
        <f>D168/E168</f>
        <v>1.0909090909090908</v>
      </c>
      <c r="K168" s="1">
        <v>39594</v>
      </c>
      <c r="M168" s="2">
        <v>6240</v>
      </c>
      <c r="N168" t="s">
        <v>199</v>
      </c>
      <c r="O168" s="7" t="s">
        <v>201</v>
      </c>
      <c r="P168" t="s">
        <v>202</v>
      </c>
    </row>
    <row r="169" spans="1:16" ht="15.75" thickBot="1" x14ac:dyDescent="0.3">
      <c r="A169" s="15" t="s">
        <v>96</v>
      </c>
      <c r="B169">
        <v>103</v>
      </c>
      <c r="C169" s="10">
        <f>'[4]University of Tennessee'!D2</f>
        <v>0.45085501858736071</v>
      </c>
      <c r="D169" s="14">
        <f>'[4]University of Tennessee'!E2</f>
        <v>798</v>
      </c>
      <c r="E169" s="14">
        <f>'[4]University of Tennessee'!F2</f>
        <v>333</v>
      </c>
      <c r="F169" s="14">
        <f>'[4]University of Tennessee'!G2</f>
        <v>1883</v>
      </c>
      <c r="G169" s="12">
        <f>'[4]University of Tennessee'!H2</f>
        <v>0.42379182156133827</v>
      </c>
      <c r="H169" s="12">
        <f>'[4]University of Tennessee'!I2</f>
        <v>0.17684545937334042</v>
      </c>
      <c r="I169" s="12">
        <f>'[4]University of Tennessee'!J2</f>
        <v>0.39936271906532128</v>
      </c>
      <c r="J169" s="3">
        <f>D169/E169</f>
        <v>2.3963963963963963</v>
      </c>
      <c r="K169" s="1">
        <v>30858</v>
      </c>
      <c r="L169" s="1">
        <v>12668</v>
      </c>
      <c r="M169" s="2">
        <v>21863</v>
      </c>
      <c r="N169" t="s">
        <v>198</v>
      </c>
      <c r="O169" s="7" t="s">
        <v>277</v>
      </c>
      <c r="P169" t="s">
        <v>278</v>
      </c>
    </row>
    <row r="170" spans="1:16" ht="15.75" thickBot="1" x14ac:dyDescent="0.3">
      <c r="A170" s="15" t="s">
        <v>58</v>
      </c>
      <c r="B170" s="5">
        <v>56</v>
      </c>
      <c r="C170" s="10">
        <f>[3]UTAustin!D2</f>
        <v>0.51117973372781056</v>
      </c>
      <c r="D170" s="14">
        <f>[3]UTAustin!E2</f>
        <v>1248</v>
      </c>
      <c r="E170" s="14">
        <f>[3]UTAustin!F2</f>
        <v>427</v>
      </c>
      <c r="F170" s="14">
        <f>[3]UTAustin!G2</f>
        <v>2704</v>
      </c>
      <c r="G170" s="12">
        <f>[3]UTAustin!H2</f>
        <v>0.46153846153846156</v>
      </c>
      <c r="H170" s="12">
        <f>[3]UTAustin!I2</f>
        <v>0.15791420118343194</v>
      </c>
      <c r="I170" s="12">
        <f>[3]UTAustin!J2</f>
        <v>0.38054733727810652</v>
      </c>
      <c r="J170" s="3">
        <f>D170/E170</f>
        <v>2.9227166276346606</v>
      </c>
      <c r="K170" s="1">
        <v>34676</v>
      </c>
      <c r="L170" s="1">
        <v>9806</v>
      </c>
      <c r="M170" s="2">
        <v>39619</v>
      </c>
      <c r="N170" t="s">
        <v>198</v>
      </c>
      <c r="O170" s="7" t="s">
        <v>386</v>
      </c>
      <c r="P170" t="s">
        <v>221</v>
      </c>
    </row>
    <row r="171" spans="1:16" ht="15.75" thickBot="1" x14ac:dyDescent="0.3">
      <c r="A171" s="15" t="s">
        <v>133</v>
      </c>
      <c r="B171">
        <v>146</v>
      </c>
      <c r="C171" s="10">
        <f>[1]utdallas!D2</f>
        <v>0.34108801108801107</v>
      </c>
      <c r="D171" s="14">
        <f>[1]utdallas!E2</f>
        <v>578</v>
      </c>
      <c r="E171" s="14">
        <f>[1]utdallas!F2</f>
        <v>265</v>
      </c>
      <c r="F171" s="14">
        <f>[1]utdallas!G2</f>
        <v>1443</v>
      </c>
      <c r="G171" s="12">
        <f>[1]utdallas!H2</f>
        <v>0.40055440055440056</v>
      </c>
      <c r="H171" s="12">
        <f>[1]utdallas!I2</f>
        <v>0.18364518364518365</v>
      </c>
      <c r="I171" s="12">
        <f>[1]utdallas!J2</f>
        <v>0.41580041580041582</v>
      </c>
      <c r="J171" s="3">
        <f>D171/E171</f>
        <v>2.1811320754716981</v>
      </c>
      <c r="K171" s="1">
        <v>33654</v>
      </c>
      <c r="L171" s="1">
        <v>12162</v>
      </c>
      <c r="M171" s="2">
        <v>15575</v>
      </c>
      <c r="N171" t="s">
        <v>198</v>
      </c>
      <c r="O171" s="7" t="s">
        <v>220</v>
      </c>
      <c r="P171" t="s">
        <v>221</v>
      </c>
    </row>
    <row r="172" spans="1:16" ht="15.75" thickBot="1" x14ac:dyDescent="0.3">
      <c r="A172" s="15" t="s">
        <v>106</v>
      </c>
      <c r="B172">
        <v>111</v>
      </c>
      <c r="C172" s="10">
        <f>'[4]University of Utah'!D2</f>
        <v>0.62375059495478324</v>
      </c>
      <c r="D172" s="14">
        <f>'[4]University of Utah'!E2</f>
        <v>1022</v>
      </c>
      <c r="E172" s="14">
        <f>'[4]University of Utah'!F2</f>
        <v>274</v>
      </c>
      <c r="F172" s="14">
        <f>'[4]University of Utah'!G2</f>
        <v>2101</v>
      </c>
      <c r="G172" s="12">
        <f>'[4]University of Utah'!H2</f>
        <v>0.48643503093764873</v>
      </c>
      <c r="H172" s="12">
        <f>'[4]University of Utah'!I2</f>
        <v>0.13041408852927178</v>
      </c>
      <c r="I172" s="12">
        <f>'[4]University of Utah'!J2</f>
        <v>0.38315088053307944</v>
      </c>
      <c r="J172" s="3">
        <f>D172/E172</f>
        <v>3.7299270072992701</v>
      </c>
      <c r="K172" s="1">
        <v>27039</v>
      </c>
      <c r="L172" s="1">
        <v>8518</v>
      </c>
      <c r="M172" s="2">
        <v>23794</v>
      </c>
      <c r="N172" t="s">
        <v>198</v>
      </c>
      <c r="O172" s="7" t="s">
        <v>356</v>
      </c>
      <c r="P172" t="s">
        <v>357</v>
      </c>
    </row>
    <row r="173" spans="1:16" ht="15.75" thickBot="1" x14ac:dyDescent="0.3">
      <c r="A173" s="15" t="s">
        <v>87</v>
      </c>
      <c r="B173">
        <v>92</v>
      </c>
      <c r="C173" s="10">
        <f>'[4]University of Vermont'!D2</f>
        <v>0.73740654205607492</v>
      </c>
      <c r="D173" s="14">
        <f>'[4]University of Vermont'!E2</f>
        <v>669</v>
      </c>
      <c r="E173" s="14">
        <f>'[4]University of Vermont'!F2</f>
        <v>164</v>
      </c>
      <c r="F173" s="14">
        <f>'[4]University of Vermont'!G2</f>
        <v>1284</v>
      </c>
      <c r="G173" s="12">
        <f>'[4]University of Vermont'!H2</f>
        <v>0.5210280373831776</v>
      </c>
      <c r="H173" s="12">
        <f>'[4]University of Vermont'!I2</f>
        <v>0.1277258566978193</v>
      </c>
      <c r="I173" s="12">
        <f>'[4]University of Vermont'!J2</f>
        <v>0.35124610591900307</v>
      </c>
      <c r="J173" s="3">
        <f>D173/E173</f>
        <v>4.0792682926829267</v>
      </c>
      <c r="K173" s="1">
        <v>40364</v>
      </c>
      <c r="L173" s="1">
        <v>17300</v>
      </c>
      <c r="M173" s="2">
        <v>10973</v>
      </c>
      <c r="N173" t="s">
        <v>198</v>
      </c>
      <c r="O173" s="7" t="s">
        <v>369</v>
      </c>
      <c r="P173" t="s">
        <v>370</v>
      </c>
    </row>
    <row r="174" spans="1:16" ht="15.75" thickBot="1" x14ac:dyDescent="0.3">
      <c r="A174" s="15" t="s">
        <v>28</v>
      </c>
      <c r="B174">
        <v>24</v>
      </c>
      <c r="C174" s="10">
        <f>[2]UVA!D3</f>
        <v>0.58163583252190876</v>
      </c>
      <c r="D174" s="14">
        <f>[2]UVA!E3</f>
        <v>1450</v>
      </c>
      <c r="E174" s="14">
        <f>[2]UVA!F3</f>
        <v>427</v>
      </c>
      <c r="F174" s="14">
        <f>[2]UVA!G3</f>
        <v>3081</v>
      </c>
      <c r="G174" s="12">
        <f>[2]UVA!H3</f>
        <v>0.47062641999350863</v>
      </c>
      <c r="H174" s="12">
        <f>[2]UVA!I3</f>
        <v>0.13859136643946771</v>
      </c>
      <c r="I174" s="12">
        <f>[2]UVA!J3</f>
        <v>0.3907822135670237</v>
      </c>
      <c r="J174" s="3">
        <f>D174/E174</f>
        <v>3.3957845433255271</v>
      </c>
      <c r="K174" s="1">
        <v>45066</v>
      </c>
      <c r="L174" s="1">
        <v>15722</v>
      </c>
      <c r="M174" s="2">
        <v>16736</v>
      </c>
      <c r="N174" t="s">
        <v>198</v>
      </c>
      <c r="O174" s="7" t="s">
        <v>376</v>
      </c>
      <c r="P174" t="s">
        <v>253</v>
      </c>
    </row>
    <row r="175" spans="1:16" ht="15.75" thickBot="1" x14ac:dyDescent="0.3">
      <c r="A175" s="15" t="s">
        <v>54</v>
      </c>
      <c r="B175" s="5">
        <v>54</v>
      </c>
      <c r="C175" s="10">
        <f>[3]UoWashington!D2</f>
        <v>0.46355524079320137</v>
      </c>
      <c r="D175" s="14">
        <f>[3]UoWashington!E2</f>
        <v>621</v>
      </c>
      <c r="E175" s="14">
        <f>[3]UoWashington!F2</f>
        <v>243</v>
      </c>
      <c r="F175" s="14">
        <f>[3]UoWashington!G2</f>
        <v>1412</v>
      </c>
      <c r="G175" s="12">
        <f>[3]UoWashington!H2</f>
        <v>0.4398016997167139</v>
      </c>
      <c r="H175" s="12">
        <f>[3]UoWashington!I2</f>
        <v>0.17209631728045327</v>
      </c>
      <c r="I175" s="12">
        <f>[3]UoWashington!J2</f>
        <v>0.38810198300283283</v>
      </c>
      <c r="J175" s="3">
        <f>D175/E175</f>
        <v>2.5555555555555554</v>
      </c>
      <c r="K175" s="1">
        <v>34791</v>
      </c>
      <c r="L175" s="1">
        <v>10753</v>
      </c>
      <c r="M175" s="2">
        <v>31063</v>
      </c>
      <c r="N175" t="s">
        <v>198</v>
      </c>
      <c r="O175" s="7" t="s">
        <v>203</v>
      </c>
      <c r="P175" t="s">
        <v>204</v>
      </c>
    </row>
    <row r="176" spans="1:16" ht="15.75" thickBot="1" x14ac:dyDescent="0.3">
      <c r="A176" s="15" t="s">
        <v>49</v>
      </c>
      <c r="B176">
        <v>44</v>
      </c>
      <c r="C176" s="10">
        <f>[2]UWMadison!D3</f>
        <v>0.57336766541822748</v>
      </c>
      <c r="D176" s="14">
        <f>[2]UWMadison!E3</f>
        <v>1517</v>
      </c>
      <c r="E176" s="14">
        <f>[2]UWMadison!F3</f>
        <v>446</v>
      </c>
      <c r="F176" s="14">
        <f>[2]UWMadison!G3</f>
        <v>3204</v>
      </c>
      <c r="G176" s="12">
        <f>[2]UWMadison!H3</f>
        <v>0.47347066167290885</v>
      </c>
      <c r="H176" s="12">
        <f>[2]UWMadison!I3</f>
        <v>0.13920099875156056</v>
      </c>
      <c r="I176" s="12">
        <f>[2]UWMadison!J3</f>
        <v>0.38732833957553059</v>
      </c>
      <c r="J176" s="3">
        <f>D176/E176</f>
        <v>3.4013452914798208</v>
      </c>
      <c r="K176" s="1">
        <v>32738</v>
      </c>
      <c r="L176" s="1">
        <v>10488</v>
      </c>
      <c r="M176" s="2">
        <v>31662</v>
      </c>
      <c r="N176" t="s">
        <v>198</v>
      </c>
      <c r="O176" s="7" t="s">
        <v>381</v>
      </c>
      <c r="P176" t="s">
        <v>306</v>
      </c>
    </row>
    <row r="177" spans="1:18" ht="15.75" thickBot="1" x14ac:dyDescent="0.3">
      <c r="A177" s="15" t="s">
        <v>147</v>
      </c>
      <c r="B177">
        <v>171</v>
      </c>
      <c r="C177" s="10">
        <f>[1]UWymong!D2</f>
        <v>0.50806842480399128</v>
      </c>
      <c r="D177" s="14">
        <f>[1]UWymong!E2</f>
        <v>610</v>
      </c>
      <c r="E177" s="14">
        <f>[1]UWymong!F2</f>
        <v>244</v>
      </c>
      <c r="F177" s="14">
        <f>[1]UWymong!G2</f>
        <v>1403</v>
      </c>
      <c r="G177" s="12">
        <f>[1]UWymong!H2</f>
        <v>0.43478260869565216</v>
      </c>
      <c r="H177" s="12">
        <f>[1]UWymong!I2</f>
        <v>0.17391304347826086</v>
      </c>
      <c r="I177" s="12">
        <f>[1]UWymong!J2</f>
        <v>0.39130434782608692</v>
      </c>
      <c r="J177" s="3">
        <f>D177/E177</f>
        <v>2.5</v>
      </c>
      <c r="K177" s="1">
        <v>16215</v>
      </c>
      <c r="L177" s="1">
        <v>5055</v>
      </c>
      <c r="M177" s="2">
        <v>10045</v>
      </c>
      <c r="N177" t="s">
        <v>198</v>
      </c>
      <c r="O177" s="7" t="s">
        <v>303</v>
      </c>
      <c r="P177" t="s">
        <v>304</v>
      </c>
    </row>
    <row r="178" spans="1:18" ht="15.75" thickBot="1" x14ac:dyDescent="0.3">
      <c r="A178" s="15" t="s">
        <v>188</v>
      </c>
      <c r="B178">
        <v>220</v>
      </c>
      <c r="C178" s="10">
        <f>'[5]Utah State University'!D2</f>
        <v>0.45978755690440087</v>
      </c>
      <c r="D178" s="14">
        <f>'[5]Utah State University'!E2</f>
        <v>295</v>
      </c>
      <c r="E178" s="14">
        <f>'[5]Utah State University'!F2</f>
        <v>115</v>
      </c>
      <c r="F178" s="14">
        <f>'[5]Utah State University'!G2</f>
        <v>659</v>
      </c>
      <c r="G178" s="12">
        <f>'[5]Utah State University'!H2</f>
        <v>0.44764795144157815</v>
      </c>
      <c r="H178" s="12">
        <f>'[5]Utah State University'!I2</f>
        <v>0.17450682852807284</v>
      </c>
      <c r="I178" s="12">
        <f>'[5]Utah State University'!J2</f>
        <v>0.37784522003034904</v>
      </c>
      <c r="J178" s="3">
        <f>D178/E178</f>
        <v>2.5652173913043477</v>
      </c>
      <c r="K178" s="1">
        <v>19772</v>
      </c>
      <c r="L178" s="1">
        <v>6866</v>
      </c>
      <c r="M178" s="2">
        <v>25259</v>
      </c>
      <c r="N178" t="s">
        <v>198</v>
      </c>
      <c r="O178" s="8" t="s">
        <v>405</v>
      </c>
      <c r="P178" t="s">
        <v>357</v>
      </c>
    </row>
    <row r="179" spans="1:18" ht="15.75" thickBot="1" x14ac:dyDescent="0.3">
      <c r="A179" s="15" t="s">
        <v>20</v>
      </c>
      <c r="B179">
        <v>15</v>
      </c>
      <c r="C179" s="10">
        <f>[2]Vanderbilt!D3</f>
        <v>0.7569709543568468</v>
      </c>
      <c r="D179" s="14">
        <f>[2]Vanderbilt!E3</f>
        <v>1141</v>
      </c>
      <c r="E179" s="14">
        <f>[2]Vanderbilt!F3</f>
        <v>237</v>
      </c>
      <c r="F179" s="14">
        <f>[2]Vanderbilt!G3</f>
        <v>2169</v>
      </c>
      <c r="G179" s="12">
        <f>[2]Vanderbilt!H3</f>
        <v>0.52604887044721071</v>
      </c>
      <c r="H179" s="12">
        <f>[2]Vanderbilt!I3</f>
        <v>0.10926694329183956</v>
      </c>
      <c r="I179" s="12">
        <f>[2]Vanderbilt!J3</f>
        <v>0.36468418626094978</v>
      </c>
      <c r="J179" s="3">
        <f>[2]Vanderbilt!K3</f>
        <v>4.814345991561181</v>
      </c>
      <c r="K179" s="1">
        <v>45610</v>
      </c>
      <c r="M179" s="2">
        <v>6883</v>
      </c>
      <c r="N179" t="s">
        <v>199</v>
      </c>
      <c r="O179" s="7" t="s">
        <v>374</v>
      </c>
      <c r="P179" t="s">
        <v>278</v>
      </c>
    </row>
    <row r="180" spans="1:18" ht="15.75" thickBot="1" x14ac:dyDescent="0.3">
      <c r="A180" s="15" t="s">
        <v>51</v>
      </c>
      <c r="B180">
        <v>50</v>
      </c>
      <c r="C180" s="10">
        <f>[2]Villanova!D3</f>
        <v>0.59025036818851251</v>
      </c>
      <c r="D180" s="14">
        <f>[2]Villanova!E3</f>
        <v>629</v>
      </c>
      <c r="E180" s="14">
        <f>[2]Villanova!F3</f>
        <v>206</v>
      </c>
      <c r="F180" s="14">
        <f>[2]Villanova!G3</f>
        <v>1358</v>
      </c>
      <c r="G180" s="12">
        <f>[2]Villanova!H3</f>
        <v>0.46318114874815908</v>
      </c>
      <c r="H180" s="12">
        <f>[2]Villanova!I3</f>
        <v>0.15169366715758467</v>
      </c>
      <c r="I180" s="12">
        <f>[2]Villanova!J3</f>
        <v>0.38512518409425622</v>
      </c>
      <c r="J180" s="3">
        <f>D180/E180</f>
        <v>3.0533980582524274</v>
      </c>
      <c r="K180" s="1">
        <v>49280</v>
      </c>
      <c r="M180" s="2">
        <v>6994</v>
      </c>
      <c r="N180" t="s">
        <v>199</v>
      </c>
      <c r="O180" s="7" t="s">
        <v>384</v>
      </c>
      <c r="P180" t="s">
        <v>265</v>
      </c>
    </row>
    <row r="181" spans="1:18" ht="15.75" thickBot="1" x14ac:dyDescent="0.3">
      <c r="A181" s="15" t="s">
        <v>143</v>
      </c>
      <c r="B181">
        <v>164</v>
      </c>
      <c r="C181" s="10">
        <f>[1]VCU!D2</f>
        <v>0.52359298928919207</v>
      </c>
      <c r="D181" s="14">
        <f>[1]VCU!E2</f>
        <v>480</v>
      </c>
      <c r="E181" s="14">
        <f>[1]VCU!F2</f>
        <v>164</v>
      </c>
      <c r="F181" s="14">
        <f>[1]VCU!G2</f>
        <v>1027</v>
      </c>
      <c r="G181" s="12">
        <f>[1]VCU!H2</f>
        <v>0.46738072054527752</v>
      </c>
      <c r="H181" s="12">
        <f>[1]VCU!I2</f>
        <v>0.15968841285296981</v>
      </c>
      <c r="I181" s="12">
        <f>[1]VCU!J2</f>
        <v>0.37293086660175268</v>
      </c>
      <c r="J181" s="3">
        <f>D181/E181</f>
        <v>2.9268292682926829</v>
      </c>
      <c r="K181" s="1">
        <v>31608</v>
      </c>
      <c r="L181" s="1">
        <v>13076</v>
      </c>
      <c r="M181" s="2">
        <v>24051</v>
      </c>
      <c r="N181" t="s">
        <v>198</v>
      </c>
      <c r="O181" s="7" t="s">
        <v>318</v>
      </c>
      <c r="P181" t="s">
        <v>253</v>
      </c>
    </row>
    <row r="182" spans="1:18" ht="15.75" thickBot="1" x14ac:dyDescent="0.3">
      <c r="A182" s="15" t="s">
        <v>72</v>
      </c>
      <c r="B182">
        <v>74</v>
      </c>
      <c r="C182" s="10">
        <f>'[4]Virginia Tech'!D2</f>
        <v>0.45360746078846936</v>
      </c>
      <c r="D182" s="14">
        <f>'[4]Virginia Tech'!E2</f>
        <v>1053</v>
      </c>
      <c r="E182" s="14">
        <f>'[4]Virginia Tech'!F2</f>
        <v>437</v>
      </c>
      <c r="F182" s="14">
        <f>'[4]Virginia Tech'!G2</f>
        <v>2359</v>
      </c>
      <c r="G182" s="12">
        <f>'[4]Virginia Tech'!H2</f>
        <v>0.44637558287409917</v>
      </c>
      <c r="H182" s="12">
        <f>'[4]Virginia Tech'!I2</f>
        <v>0.18524798643493007</v>
      </c>
      <c r="I182" s="12">
        <f>'[4]Virginia Tech'!J2</f>
        <v>0.3683764306909707</v>
      </c>
      <c r="J182" s="3">
        <f>D182/E182</f>
        <v>2.4096109839816933</v>
      </c>
      <c r="K182" s="1">
        <v>29371</v>
      </c>
      <c r="L182" s="1">
        <v>12852</v>
      </c>
      <c r="M182" s="2">
        <v>25384</v>
      </c>
      <c r="N182" t="s">
        <v>198</v>
      </c>
      <c r="O182" s="7" t="s">
        <v>281</v>
      </c>
      <c r="P182" t="s">
        <v>253</v>
      </c>
    </row>
    <row r="183" spans="1:18" ht="15.75" thickBot="1" x14ac:dyDescent="0.3">
      <c r="A183" s="15" t="s">
        <v>129</v>
      </c>
      <c r="B183">
        <v>143</v>
      </c>
      <c r="C183" s="10">
        <f>[1]WSU!D2</f>
        <v>0.59416348357524806</v>
      </c>
      <c r="D183" s="14">
        <f>[1]WSU!E2</f>
        <v>640</v>
      </c>
      <c r="E183" s="14">
        <f>[1]WSU!F2</f>
        <v>162</v>
      </c>
      <c r="F183" s="14">
        <f>[1]WSU!G2</f>
        <v>1309</v>
      </c>
      <c r="G183" s="12">
        <f>[1]WSU!H2</f>
        <v>0.48892284186401835</v>
      </c>
      <c r="H183" s="12">
        <f>[1]WSU!I2</f>
        <v>0.12375859434682965</v>
      </c>
      <c r="I183" s="12">
        <f>[1]WSU!J2</f>
        <v>0.38731856378915197</v>
      </c>
      <c r="J183" s="3">
        <f>D183/E183</f>
        <v>3.9506172839506171</v>
      </c>
      <c r="K183" s="1">
        <v>25673</v>
      </c>
      <c r="L183" s="1">
        <v>11041</v>
      </c>
      <c r="M183" s="2">
        <v>24470</v>
      </c>
      <c r="N183" t="s">
        <v>198</v>
      </c>
      <c r="O183" s="7" t="s">
        <v>348</v>
      </c>
      <c r="P183" t="s">
        <v>204</v>
      </c>
    </row>
    <row r="184" spans="1:18" ht="15.75" thickBot="1" x14ac:dyDescent="0.3">
      <c r="A184" s="15" t="s">
        <v>21</v>
      </c>
      <c r="B184">
        <v>19</v>
      </c>
      <c r="C184" s="10">
        <f>[2]Washu!D3</f>
        <v>0.64222590361445775</v>
      </c>
      <c r="D184" s="14">
        <f>[2]Washu!E3</f>
        <v>1621</v>
      </c>
      <c r="E184" s="14">
        <f>[2]Washu!F3</f>
        <v>435</v>
      </c>
      <c r="F184" s="14">
        <f>[2]Washu!G3</f>
        <v>3320</v>
      </c>
      <c r="G184" s="12">
        <f>[2]Washu!H3</f>
        <v>0.48825301204819277</v>
      </c>
      <c r="H184" s="12">
        <f>[2]Washu!I3</f>
        <v>0.13102409638554216</v>
      </c>
      <c r="I184" s="12">
        <f>[2]Washu!J3</f>
        <v>0.38072289156626504</v>
      </c>
      <c r="J184" s="3">
        <f>D184/E184</f>
        <v>3.7264367816091952</v>
      </c>
      <c r="K184" s="1">
        <v>49770</v>
      </c>
      <c r="M184" s="2">
        <v>7504</v>
      </c>
      <c r="N184" t="s">
        <v>199</v>
      </c>
      <c r="O184" s="7" t="s">
        <v>334</v>
      </c>
      <c r="P184" t="s">
        <v>248</v>
      </c>
    </row>
    <row r="185" spans="1:18" ht="15.75" thickBot="1" x14ac:dyDescent="0.3">
      <c r="A185" s="15" t="s">
        <v>156</v>
      </c>
      <c r="B185">
        <v>183</v>
      </c>
      <c r="C185" s="10">
        <f>'[1]West Virginia University'!D2</f>
        <v>0.53089839921594228</v>
      </c>
      <c r="D185" s="14">
        <f>'[1]West Virginia University'!E2</f>
        <v>1397</v>
      </c>
      <c r="E185" s="14">
        <f>'[1]West Virginia University'!F2</f>
        <v>485</v>
      </c>
      <c r="F185" s="14">
        <f>'[1]West Virginia University'!G2</f>
        <v>3061</v>
      </c>
      <c r="G185" s="12">
        <f>'[1]West Virginia University'!H2</f>
        <v>0.45638680169879126</v>
      </c>
      <c r="H185" s="12">
        <f>'[1]West Virginia University'!I2</f>
        <v>0.15844495262985953</v>
      </c>
      <c r="I185" s="12">
        <f>'[1]West Virginia University'!J2</f>
        <v>0.38516824567134922</v>
      </c>
      <c r="J185" s="3">
        <f>D185/E185</f>
        <v>2.8804123711340206</v>
      </c>
      <c r="K185" s="1">
        <v>21432</v>
      </c>
      <c r="L185" s="1">
        <v>7632</v>
      </c>
      <c r="M185" s="2">
        <v>22498</v>
      </c>
      <c r="N185" t="s">
        <v>198</v>
      </c>
      <c r="O185" s="7" t="s">
        <v>321</v>
      </c>
      <c r="P185" t="s">
        <v>322</v>
      </c>
    </row>
    <row r="186" spans="1:18" ht="15.75" thickBot="1" x14ac:dyDescent="0.3">
      <c r="A186" s="15" t="s">
        <v>163</v>
      </c>
      <c r="B186">
        <v>194</v>
      </c>
      <c r="C186" s="10">
        <f>[1]WMU!D2</f>
        <v>0.60201828410689118</v>
      </c>
      <c r="D186" s="14">
        <f>[1]WMU!E2</f>
        <v>648</v>
      </c>
      <c r="E186" s="14">
        <f>[1]WMU!F2</f>
        <v>193</v>
      </c>
      <c r="F186" s="14">
        <f>[1]WMU!G2</f>
        <v>1422</v>
      </c>
      <c r="G186" s="12">
        <f>[1]WMU!H2</f>
        <v>0.45569620253164556</v>
      </c>
      <c r="H186" s="12">
        <f>[1]WMU!I2</f>
        <v>0.13572433192686356</v>
      </c>
      <c r="I186" s="12">
        <f>[1]WMU!J2</f>
        <v>0.40857946554149094</v>
      </c>
      <c r="J186" s="3">
        <f>D186/E186</f>
        <v>3.3575129533678756</v>
      </c>
      <c r="K186" s="1">
        <v>25713</v>
      </c>
      <c r="L186" s="1">
        <v>11029</v>
      </c>
      <c r="M186" s="2">
        <v>18567</v>
      </c>
      <c r="N186" t="s">
        <v>198</v>
      </c>
      <c r="O186" s="7" t="s">
        <v>349</v>
      </c>
      <c r="P186" t="s">
        <v>257</v>
      </c>
    </row>
    <row r="187" spans="1:18" ht="15.75" thickBot="1" x14ac:dyDescent="0.3">
      <c r="A187" s="15" t="s">
        <v>7</v>
      </c>
      <c r="B187" s="6">
        <v>3</v>
      </c>
      <c r="C187" s="10">
        <f>'[6]Yale Unvieristy'!D2</f>
        <v>0.54153203342618472</v>
      </c>
      <c r="D187" s="14">
        <f>'[6]Yale Unvieristy'!E2</f>
        <v>1492</v>
      </c>
      <c r="E187" s="14">
        <f>'[6]Yale Unvieristy'!F2</f>
        <v>518</v>
      </c>
      <c r="F187" s="14">
        <f>'[6]Yale Unvieristy'!G2</f>
        <v>3231</v>
      </c>
      <c r="G187" s="12">
        <f>'[6]Yale Unvieristy'!H2</f>
        <v>0.46177653977096872</v>
      </c>
      <c r="H187" s="12">
        <f>'[6]Yale Unvieristy'!I2</f>
        <v>0.16032188177034973</v>
      </c>
      <c r="I187" s="12">
        <f>'[6]Yale Unvieristy'!J2</f>
        <v>0.37790157845868155</v>
      </c>
      <c r="J187" s="3">
        <f>D187/E187</f>
        <v>2.8803088803088803</v>
      </c>
      <c r="K187" s="1">
        <v>49480</v>
      </c>
      <c r="M187" s="2">
        <v>5532</v>
      </c>
      <c r="N187" t="s">
        <v>199</v>
      </c>
      <c r="O187" s="7" t="s">
        <v>326</v>
      </c>
      <c r="P187" t="s">
        <v>208</v>
      </c>
      <c r="R187" s="14"/>
    </row>
    <row r="188" spans="1:18" x14ac:dyDescent="0.25">
      <c r="A188"/>
      <c r="C188"/>
      <c r="D188"/>
      <c r="E188"/>
      <c r="F188"/>
      <c r="G188"/>
      <c r="H188"/>
      <c r="I188"/>
      <c r="J188"/>
    </row>
    <row r="189" spans="1:18" x14ac:dyDescent="0.25">
      <c r="A189"/>
      <c r="C189"/>
      <c r="D189"/>
      <c r="E189"/>
      <c r="F189"/>
      <c r="G189"/>
      <c r="H189"/>
      <c r="I189"/>
      <c r="J189"/>
    </row>
    <row r="190" spans="1:18" x14ac:dyDescent="0.25">
      <c r="A190"/>
      <c r="C190"/>
      <c r="D190"/>
      <c r="E190"/>
      <c r="F190"/>
      <c r="G190"/>
      <c r="H190"/>
      <c r="I190"/>
      <c r="J190"/>
    </row>
    <row r="191" spans="1:18" x14ac:dyDescent="0.25">
      <c r="A191"/>
      <c r="C191"/>
      <c r="D191"/>
      <c r="E191"/>
      <c r="F191"/>
      <c r="G191"/>
      <c r="H191"/>
      <c r="I191"/>
      <c r="J191"/>
    </row>
    <row r="192" spans="1:18" x14ac:dyDescent="0.25">
      <c r="A192"/>
      <c r="C192"/>
      <c r="D192"/>
      <c r="E192"/>
      <c r="F192"/>
      <c r="G192"/>
      <c r="H192"/>
      <c r="I192"/>
      <c r="J192"/>
    </row>
    <row r="193" spans="1:10" x14ac:dyDescent="0.25">
      <c r="A193"/>
      <c r="C193"/>
      <c r="D193"/>
      <c r="E193"/>
      <c r="F193"/>
      <c r="G193"/>
      <c r="H193"/>
      <c r="I193"/>
      <c r="J193"/>
    </row>
    <row r="194" spans="1:10" x14ac:dyDescent="0.25">
      <c r="A194"/>
      <c r="C194"/>
      <c r="D194"/>
      <c r="E194"/>
      <c r="F194"/>
      <c r="G194"/>
      <c r="H194"/>
      <c r="I194"/>
      <c r="J194"/>
    </row>
    <row r="195" spans="1:10" x14ac:dyDescent="0.25">
      <c r="A195"/>
      <c r="C195"/>
      <c r="D195"/>
      <c r="E195"/>
      <c r="F195"/>
      <c r="G195"/>
      <c r="H195"/>
      <c r="I195"/>
      <c r="J195"/>
    </row>
    <row r="196" spans="1:10" x14ac:dyDescent="0.25">
      <c r="A196"/>
      <c r="C196"/>
      <c r="D196"/>
      <c r="E196"/>
      <c r="F196"/>
      <c r="G196"/>
      <c r="H196"/>
      <c r="I196"/>
      <c r="J196"/>
    </row>
    <row r="197" spans="1:10" x14ac:dyDescent="0.25">
      <c r="A197"/>
      <c r="C197"/>
      <c r="D197"/>
      <c r="E197"/>
      <c r="F197"/>
      <c r="G197"/>
      <c r="H197"/>
      <c r="I197"/>
      <c r="J197"/>
    </row>
    <row r="198" spans="1:10" x14ac:dyDescent="0.25">
      <c r="A198"/>
      <c r="C198"/>
      <c r="D198"/>
      <c r="E198"/>
      <c r="F198"/>
      <c r="G198"/>
      <c r="H198"/>
      <c r="I198"/>
      <c r="J198"/>
    </row>
    <row r="199" spans="1:10" x14ac:dyDescent="0.25">
      <c r="A199"/>
      <c r="C199"/>
      <c r="D199"/>
      <c r="E199"/>
      <c r="F199"/>
      <c r="G199"/>
      <c r="H199"/>
      <c r="I199"/>
      <c r="J199"/>
    </row>
    <row r="200" spans="1:10" x14ac:dyDescent="0.25">
      <c r="A200"/>
      <c r="C200"/>
      <c r="D200"/>
      <c r="E200"/>
      <c r="F200"/>
      <c r="G200"/>
      <c r="H200"/>
      <c r="I200"/>
      <c r="J200"/>
    </row>
    <row r="201" spans="1:10" x14ac:dyDescent="0.25">
      <c r="A201"/>
      <c r="C201"/>
      <c r="D201"/>
      <c r="E201"/>
      <c r="F201"/>
      <c r="G201"/>
      <c r="H201"/>
      <c r="I201"/>
      <c r="J201"/>
    </row>
    <row r="202" spans="1:10" x14ac:dyDescent="0.25">
      <c r="A202"/>
      <c r="C202"/>
      <c r="D202"/>
      <c r="E202"/>
      <c r="F202"/>
      <c r="G202"/>
      <c r="H202"/>
      <c r="I202"/>
      <c r="J202"/>
    </row>
    <row r="203" spans="1:10" x14ac:dyDescent="0.25">
      <c r="A203"/>
      <c r="C203"/>
      <c r="D203"/>
      <c r="E203"/>
      <c r="F203"/>
      <c r="G203"/>
      <c r="H203"/>
      <c r="I203"/>
      <c r="J203"/>
    </row>
    <row r="204" spans="1:10" x14ac:dyDescent="0.25">
      <c r="A204"/>
      <c r="C204"/>
      <c r="D204"/>
      <c r="E204"/>
      <c r="F204"/>
      <c r="G204"/>
      <c r="H204"/>
      <c r="I204"/>
      <c r="J204"/>
    </row>
    <row r="205" spans="1:10" x14ac:dyDescent="0.25">
      <c r="A205"/>
      <c r="C205"/>
      <c r="D205"/>
      <c r="E205"/>
      <c r="F205"/>
      <c r="G205"/>
      <c r="H205"/>
      <c r="I205"/>
      <c r="J205"/>
    </row>
    <row r="206" spans="1:10" x14ac:dyDescent="0.25">
      <c r="A206"/>
      <c r="C206"/>
      <c r="D206"/>
      <c r="E206"/>
      <c r="F206"/>
      <c r="G206"/>
      <c r="H206"/>
      <c r="I206"/>
      <c r="J206"/>
    </row>
    <row r="207" spans="1:10" x14ac:dyDescent="0.25">
      <c r="A207"/>
      <c r="C207"/>
      <c r="D207"/>
      <c r="E207"/>
      <c r="F207"/>
      <c r="G207"/>
      <c r="H207"/>
      <c r="I207"/>
      <c r="J207"/>
    </row>
    <row r="208" spans="1:10" x14ac:dyDescent="0.25">
      <c r="A208"/>
      <c r="C208"/>
      <c r="D208"/>
      <c r="E208"/>
      <c r="F208"/>
      <c r="G208"/>
      <c r="H208"/>
      <c r="I208"/>
      <c r="J208"/>
    </row>
    <row r="209" spans="1:10" x14ac:dyDescent="0.25">
      <c r="A209"/>
      <c r="C209"/>
      <c r="D209"/>
      <c r="E209"/>
      <c r="F209"/>
      <c r="G209"/>
      <c r="H209"/>
      <c r="I209"/>
      <c r="J209"/>
    </row>
    <row r="210" spans="1:10" x14ac:dyDescent="0.25">
      <c r="A210"/>
      <c r="C210"/>
      <c r="D210"/>
      <c r="E210"/>
      <c r="F210"/>
      <c r="G210"/>
      <c r="H210"/>
      <c r="I210"/>
      <c r="J210"/>
    </row>
    <row r="211" spans="1:10" x14ac:dyDescent="0.25">
      <c r="A211"/>
      <c r="C211"/>
      <c r="D211"/>
      <c r="E211"/>
      <c r="F211"/>
      <c r="G211"/>
      <c r="H211"/>
      <c r="I211"/>
      <c r="J211"/>
    </row>
    <row r="212" spans="1:10" x14ac:dyDescent="0.25">
      <c r="A212"/>
      <c r="C212"/>
      <c r="D212"/>
      <c r="E212"/>
      <c r="F212"/>
      <c r="G212"/>
      <c r="H212"/>
      <c r="I212"/>
      <c r="J212"/>
    </row>
    <row r="213" spans="1:10" x14ac:dyDescent="0.25">
      <c r="A213"/>
      <c r="C213"/>
      <c r="D213"/>
      <c r="E213"/>
      <c r="F213"/>
      <c r="G213"/>
      <c r="H213"/>
      <c r="I213"/>
      <c r="J213"/>
    </row>
    <row r="214" spans="1:10" x14ac:dyDescent="0.25">
      <c r="A214"/>
      <c r="C214"/>
      <c r="D214"/>
      <c r="E214"/>
      <c r="F214"/>
      <c r="G214"/>
      <c r="H214"/>
      <c r="I214"/>
      <c r="J214"/>
    </row>
    <row r="215" spans="1:10" x14ac:dyDescent="0.25">
      <c r="A215"/>
      <c r="C215"/>
      <c r="D215"/>
      <c r="E215"/>
      <c r="F215"/>
      <c r="G215"/>
      <c r="H215"/>
      <c r="I215"/>
      <c r="J215"/>
    </row>
    <row r="216" spans="1:10" x14ac:dyDescent="0.25">
      <c r="A216"/>
      <c r="C216"/>
      <c r="D216"/>
      <c r="E216"/>
      <c r="F216"/>
      <c r="G216"/>
      <c r="H216"/>
      <c r="I216"/>
      <c r="J216"/>
    </row>
    <row r="217" spans="1:10" x14ac:dyDescent="0.25">
      <c r="A217"/>
      <c r="C217"/>
      <c r="D217"/>
      <c r="E217"/>
      <c r="F217"/>
      <c r="G217"/>
      <c r="H217"/>
      <c r="I217"/>
      <c r="J217"/>
    </row>
    <row r="218" spans="1:10" x14ac:dyDescent="0.25">
      <c r="A218"/>
      <c r="C218"/>
      <c r="D218"/>
      <c r="E218"/>
      <c r="F218"/>
      <c r="G218"/>
      <c r="H218"/>
      <c r="I218"/>
      <c r="J218"/>
    </row>
    <row r="219" spans="1:10" x14ac:dyDescent="0.25">
      <c r="A219"/>
      <c r="C219"/>
      <c r="D219"/>
      <c r="E219"/>
      <c r="F219"/>
      <c r="G219"/>
      <c r="H219"/>
      <c r="I219"/>
      <c r="J219"/>
    </row>
    <row r="220" spans="1:10" x14ac:dyDescent="0.25">
      <c r="A220"/>
      <c r="C220"/>
      <c r="D220"/>
      <c r="E220"/>
      <c r="F220"/>
      <c r="G220"/>
      <c r="H220"/>
      <c r="I220"/>
      <c r="J220"/>
    </row>
    <row r="221" spans="1:10" x14ac:dyDescent="0.25">
      <c r="A221"/>
      <c r="C221"/>
      <c r="D221"/>
      <c r="E221"/>
      <c r="F221"/>
      <c r="G221"/>
      <c r="H221"/>
      <c r="I221"/>
      <c r="J221"/>
    </row>
    <row r="222" spans="1:10" x14ac:dyDescent="0.25">
      <c r="A222"/>
      <c r="C222"/>
      <c r="D222"/>
      <c r="E222"/>
      <c r="F222"/>
      <c r="G222"/>
      <c r="H222"/>
      <c r="I222"/>
      <c r="J222"/>
    </row>
    <row r="223" spans="1:10" x14ac:dyDescent="0.25">
      <c r="A223"/>
      <c r="C223"/>
      <c r="D223"/>
      <c r="E223"/>
      <c r="F223"/>
      <c r="G223"/>
      <c r="H223"/>
      <c r="I223"/>
      <c r="J223"/>
    </row>
    <row r="224" spans="1:10" x14ac:dyDescent="0.25">
      <c r="A224"/>
      <c r="C224"/>
      <c r="D224"/>
      <c r="E224"/>
      <c r="F224"/>
      <c r="G224"/>
      <c r="H224"/>
      <c r="I224"/>
      <c r="J224"/>
    </row>
    <row r="225" spans="1:10" x14ac:dyDescent="0.25">
      <c r="A225"/>
      <c r="C225"/>
      <c r="D225"/>
      <c r="E225"/>
      <c r="F225"/>
      <c r="G225"/>
      <c r="H225"/>
      <c r="I225"/>
      <c r="J225"/>
    </row>
    <row r="226" spans="1:10" x14ac:dyDescent="0.25">
      <c r="A226"/>
      <c r="C226"/>
      <c r="D226"/>
      <c r="E226"/>
      <c r="F226"/>
      <c r="G226"/>
      <c r="H226"/>
      <c r="I226"/>
      <c r="J226"/>
    </row>
    <row r="227" spans="1:10" x14ac:dyDescent="0.25">
      <c r="A227"/>
      <c r="C227"/>
      <c r="D227"/>
      <c r="E227"/>
      <c r="F227"/>
      <c r="G227"/>
      <c r="H227"/>
      <c r="I227"/>
      <c r="J227"/>
    </row>
    <row r="228" spans="1:10" x14ac:dyDescent="0.25">
      <c r="A228"/>
      <c r="C228"/>
      <c r="D228"/>
      <c r="E228"/>
      <c r="F228"/>
      <c r="G228"/>
      <c r="H228"/>
      <c r="I228"/>
      <c r="J228"/>
    </row>
    <row r="229" spans="1:10" x14ac:dyDescent="0.25">
      <c r="A229"/>
      <c r="C229"/>
      <c r="D229"/>
      <c r="E229"/>
      <c r="F229"/>
      <c r="G229"/>
      <c r="H229"/>
      <c r="I229"/>
      <c r="J229"/>
    </row>
    <row r="230" spans="1:10" x14ac:dyDescent="0.25">
      <c r="A230"/>
      <c r="C230"/>
      <c r="D230"/>
      <c r="E230"/>
      <c r="F230"/>
      <c r="G230"/>
      <c r="H230"/>
      <c r="I230"/>
      <c r="J230"/>
    </row>
  </sheetData>
  <autoFilter ref="A1:P1" xr:uid="{464B8E42-C321-49F9-98A1-CE5E9D3EC118}">
    <sortState ref="A2:P187">
      <sortCondition ref="A1"/>
    </sortState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National Universities Rankings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Hab</dc:creator>
  <cp:lastModifiedBy>Hab</cp:lastModifiedBy>
  <dcterms:created xsi:type="dcterms:W3CDTF">2018-04-14T20:01:29Z</dcterms:created>
  <dcterms:modified xsi:type="dcterms:W3CDTF">2018-04-17T23:47:58Z</dcterms:modified>
</cp:coreProperties>
</file>